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od" sheetId="1" r:id="rId5"/>
    <sheet state="visible" name="Drink" sheetId="2" r:id="rId6"/>
    <sheet state="visible" name="Category" sheetId="3" r:id="rId7"/>
    <sheet state="visible" name="Helper" sheetId="4" r:id="rId8"/>
  </sheets>
  <definedNames>
    <definedName hidden="1" localSheetId="0" name="_xlnm._FilterDatabase">Food!$A$1:$L$58</definedName>
  </definedNames>
  <calcPr/>
</workbook>
</file>

<file path=xl/sharedStrings.xml><?xml version="1.0" encoding="utf-8"?>
<sst xmlns="http://schemas.openxmlformats.org/spreadsheetml/2006/main" count="486" uniqueCount="365">
  <si>
    <t>Category</t>
  </si>
  <si>
    <t>Name</t>
  </si>
  <si>
    <t>Price</t>
  </si>
  <si>
    <t>Desc</t>
  </si>
  <si>
    <t>Name_en</t>
  </si>
  <si>
    <t>Desc_en</t>
  </si>
  <si>
    <t>Name_zh</t>
  </si>
  <si>
    <t>Desc_zh</t>
  </si>
  <si>
    <t>Image</t>
  </si>
  <si>
    <t>Favorite</t>
  </si>
  <si>
    <t>Spicy</t>
  </si>
  <si>
    <t>special</t>
  </si>
  <si>
    <t>Mì ramen ( khô và nước )</t>
  </si>
  <si>
    <t>mỳ ramen, nước dùng</t>
  </si>
  <si>
    <t>vegan ramen ( dry / soup )</t>
  </si>
  <si>
    <t>https://res.cloudinary.com/dix539uvo/image/upload/v1780325976/M%C3%AC_ramen_monchinh_dnqjwy.png</t>
  </si>
  <si>
    <t>Nấm xúc bánh đa</t>
  </si>
  <si>
    <t>nấm, bánh đa, gia vị</t>
  </si>
  <si>
    <t>Stir-fried Mushrooms served with Sesame Rice Crackers</t>
  </si>
  <si>
    <t>https://res.cloudinary.com/dix539uvo/image/upload/v1780325988/N%E1%BA%A5m_x%C3%BAc_b%C3%A1nh_%C4%91a_monkhaivi_sriwx7.png</t>
  </si>
  <si>
    <t>ĐẬU HŨ NON CHIÊN GIÒN CHÀ BÔNG</t>
  </si>
  <si>
    <t>đậu hủ non, chà bông chay, rong biển, mỡ hành dùng kèm với mayonnaise tương ớt</t>
  </si>
  <si>
    <t>Fried Young Tofu with Meat floss</t>
  </si>
  <si>
    <t>https://res.cloudinary.com/dix539uvo/image/upload/v1780151896/IMG_3758_mdxtav.jpg</t>
  </si>
  <si>
    <t>NẤM bào ngư xốc muối hongkong</t>
  </si>
  <si>
    <t>nấm bào ngư, muối Hong Kong dùng kèm với mayonnaise tương ớt</t>
  </si>
  <si>
    <t>HongKong Salted Oyster Mushrooms</t>
  </si>
  <si>
    <t>https://firebasestorage.googleapis.com/v0/b/dieuthien-production.appspot.com/o/dacbiet%2FNa%CC%82%CC%81m%20ba%CC%80o%20ngu%CC%9B%20xo%CC%82%CC%81c%20muo%CC%82%CC%81i%20HongKong_dacbiet.jpg?alt=media&amp;token=7158a1fe-cd82-4452-a322-31ac284da192</t>
  </si>
  <si>
    <t>ĐẬU NON RONG BIỂN SỐT TERIYAKI</t>
  </si>
  <si>
    <t>đậu hủ non cuộn rong biển chiên giòn, sốt teriyaki</t>
  </si>
  <si>
    <t>Seaweed rolled Young Tofu &amp; Teriyaki Sauce</t>
  </si>
  <si>
    <t>https://res.cloudinary.com/dix539uvo/image/upload/v1780151906/IMG_3883_ip1sfc.jpg</t>
  </si>
  <si>
    <t>KHOAI TÂY BỌT BIỂN</t>
  </si>
  <si>
    <t>khoai tây , chà bông chay , rong biển dùng với mayonnaise tương ớt</t>
  </si>
  <si>
    <t>spongy spongy potato</t>
  </si>
  <si>
    <t>https://res.cloudinary.com/dix539uvo/image/upload/v1780328756/Khoai_t%C3%A2y_b%E1%BB%8Dt_bi%E1%BB%83n_khaivi_ifuygr.png</t>
  </si>
  <si>
    <t>salad</t>
  </si>
  <si>
    <t>GỎI NẤM BÀO NGƯ XÉ TRỘN</t>
  </si>
  <si>
    <t>nấm bào ngư, tàu hủ ki, rau thơm các loại, xốt gỏi chua cay</t>
  </si>
  <si>
    <t>https://firebasestorage.googleapis.com/v0/b/dieuthien-production.appspot.com/o/khaivi%2FGo%CC%89i%20na%CC%82%CC%81m%20ba%CC%80o%20ngu%CC%9B%20xe%CC%81%20tro%CC%A3%CC%82n_%20khaivi.jpg?alt=media&amp;token=afb1b5fc-4db0-4562-88cd-75c1ddc67200</t>
  </si>
  <si>
    <t>GỎI somtum thái lan</t>
  </si>
  <si>
    <t>xoài, cà rốt, đu dủ, cà chua, cà pháo, đậu đũa, tắc, lá chanh, ngò gai, xốt Thái</t>
  </si>
  <si>
    <t xml:space="preserve">Thailand Somtum Salad </t>
  </si>
  <si>
    <t>https://firebasestorage.googleapis.com/v0/b/dieuthien-production.appspot.com/o/khaivi%2FGo%CC%89i%20Somtum%20Tha%CC%81i%20Lan_khaivi.jpg?alt=media&amp;token=1be1b1ea-7c94-466f-b67b-194d9f9b13ac</t>
  </si>
  <si>
    <t>gỎI NGÓ SEN</t>
  </si>
  <si>
    <t>ngó sen, dưa leo, cà rốt, tàu hũ ki, rau thơm các loại, xốt gỏi chua cay</t>
  </si>
  <si>
    <t xml:space="preserve">Lotus Delight Salad </t>
  </si>
  <si>
    <t>https://res.cloudinary.com/dix539uvo/image/upload/v1780151915/IMG_4017_cp8wde.jpg</t>
  </si>
  <si>
    <t>GỎI RONG SỤN</t>
  </si>
  <si>
    <t>rong sụn, dưa leo, cà rốt, rau thơm các loại, xốt gỏi chua cay</t>
  </si>
  <si>
    <t>Cartilage Algae Salad</t>
  </si>
  <si>
    <t>https://res.cloudinary.com/dix539uvo/image/upload/v1780327653/G%E1%BB%8Fi_rong_s%E1%BB%A5n_khaivi_chx4ao.png</t>
  </si>
  <si>
    <t>SALAD Trái cây NHIỆT ĐỚi</t>
  </si>
  <si>
    <t>rau xà lách, cà chua, thanh long, thơm, bắp Mỹ, cam, nho khô, xốt chanh dây</t>
  </si>
  <si>
    <t xml:space="preserve">Tropical Fruity Salad </t>
  </si>
  <si>
    <t>https://res.cloudinary.com/dix539uvo/image/upload/v1780326952/Salad_tr%C3%A1i_c%C3%A2y_nhi%E1%BB%87t_%C4%91%E1%BB%9Bi_khaivi3461_1_mojlce.png</t>
  </si>
  <si>
    <t>SALAD rong biển nhật</t>
  </si>
  <si>
    <t>Rong biển Nhật, ớt chuông, rau xà lách, xốt mè rang</t>
  </si>
  <si>
    <t>Japanese Seaweed Salad</t>
  </si>
  <si>
    <t>https://firebasestorage.googleapis.com/v0/b/dieuthien-production.appspot.com/o/khaivi%2FSalad%20rong%20bie%CC%82%CC%89n%20Nha%CC%A3%CC%82t_khaivi.jpg?alt=media&amp;token=1228fe8a-ff61-4009-968d-e5a09d34ca98</t>
  </si>
  <si>
    <t>roll</t>
  </si>
  <si>
    <t>chả giò</t>
  </si>
  <si>
    <t>nhân khoai các loại, cà rốt, mộc nhĩ, bắp, đậu xanh, dùng kèm nước mắm chua ngọt</t>
  </si>
  <si>
    <t>Spring Roll</t>
  </si>
  <si>
    <t>https://firebasestorage.googleapis.com/v0/b/dieuthien-production.appspot.com/o/moncuon%2Fcha%CC%89%20gio%CC%80_moncuon.jpg?alt=media&amp;token=a75f9867-69e2-437b-a14d-74b3f08f7161</t>
  </si>
  <si>
    <t>gỏi cuốn</t>
  </si>
  <si>
    <t>nhân bún tươi, rau thơm các loại, nấm xào thập cẩm dùng kèm xốt đậu phộng</t>
  </si>
  <si>
    <t>Summer Roll</t>
  </si>
  <si>
    <t>https://res.cloudinary.com/dix539uvo/image/upload/v1780327622/G%E1%BB%8Fi_cu%E1%BB%91n_moncuon_ydfmll.png</t>
  </si>
  <si>
    <t>bì cuốn</t>
  </si>
  <si>
    <t>nhân khoai các loại, thính, miến, rau thơm các loại, dùng kèm nước mắm chua ngọt</t>
  </si>
  <si>
    <t>Crystal Autumn Roll</t>
  </si>
  <si>
    <t>https://res.cloudinary.com/dix539uvo/image/upload/v1780327610/B%C3%AC_cu%E1%BB%91n_moncuon_yuwtur.png</t>
  </si>
  <si>
    <t>mẹt cuốn</t>
  </si>
  <si>
    <t>cuốn bành tráng với bún tươi, rau sống các loại, nấm xốt dầu hào, kèm xốt đậu phộng</t>
  </si>
  <si>
    <t>Veggie Wrap &amp; Roll</t>
  </si>
  <si>
    <t>https://res.cloudinary.com/dix539uvo/image/upload/v1780328753/M%E1%BA%B9t_cu%E1%BB%91n_moncuon_nzlfyn.png</t>
  </si>
  <si>
    <t>bánh xèo</t>
  </si>
  <si>
    <t>nhân giá đỗ, cà rốt, nấm xào thập cẩm, đậu xanh, cuốn bành tráng với rau sống các loại, dùng kèm nước mắm chua ngọt.</t>
  </si>
  <si>
    <t>Vietnamese Pancake</t>
  </si>
  <si>
    <t>https://res.cloudinary.com/dix539uvo/image/upload/v1780325852/B%C3%A1nh_x%C3%A8o_moncuon_jw9jjp.png</t>
  </si>
  <si>
    <t>Nấm nướng lá lốt</t>
  </si>
  <si>
    <t>Lá lốt cuộn nấm xào thập cẩm nướng, cuốn bánh tráng với bún tươi, rau sống các loại, dùng kèm mắm nêm chay</t>
  </si>
  <si>
    <t>Grilled mushrooms rolled in piper lolot</t>
  </si>
  <si>
    <t>https://firebasestorage.googleapis.com/v0/b/dieuthien-production.appspot.com/o/moncuon%2FNa%CC%82%CC%81m%20nu%CC%9Bo%CC%9B%CC%81ng%20la%CC%81%20lo%CC%82%CC%81t_moncuon.jpg?alt=media&amp;token=ca047dfa-9e00-4c09-8c95-7577d2a1cbcc</t>
  </si>
  <si>
    <t>hotPot</t>
  </si>
  <si>
    <t>lẩu nấm tiêu xanh</t>
  </si>
  <si>
    <t>nước lẩu tiêu xanh , rau mồng tơi , rau cải thảo , rau cải bẹ xanh , nấm đùi gà , nấm bào ngư , nấm kim châm , đậu hủ non , dùng kèm nước mắm chay ăn kèm và bún tươi</t>
  </si>
  <si>
    <t>Green pepper &amp; mushrooms hotpot</t>
  </si>
  <si>
    <t>https://res.cloudinary.com/dix539uvo/image/upload/v1780326955/L%E1%BA%A9u_n%E1%BA%A5m_h%E1%BA%A7m_ti%C3%AAu_xanh_monlau3559_c74y1s.png</t>
  </si>
  <si>
    <t>lẩu thái</t>
  </si>
  <si>
    <t>nước lẩu thái , rau bắp chuối , rau cải thảo , rau muống , rau cần nước , nấm đùi gà , nấm kim châm , nấm bào ngư , đậu hủ non dùng kèm với nước mắm chay và bún tươi</t>
  </si>
  <si>
    <t>Thai hotpot</t>
  </si>
  <si>
    <t>https://res.cloudinary.com/dix539uvo/image/upload/v1780325867/L%E1%BA%A9u_Th%C3%A1i_monlau_1_jrs05t.png</t>
  </si>
  <si>
    <t>lẩu sa tế diệu thiện</t>
  </si>
  <si>
    <t>nước lẩu sa tế , rau mồng tơi , rau cải thảo , nấm bào ngư , nấm đùi gà , nấm kim châm đen , đậu hủ , tàu hủ ki dùng kèm với nước mắm sa tế và bún tươi</t>
  </si>
  <si>
    <t>"Dieu Thien" spicy sauce hotpot</t>
  </si>
  <si>
    <t>https://res.cloudinary.com/dix539uvo/image/upload/v1780325952/L%E1%BA%A9u_sa_t%E1%BA%BF_Di%E1%BB%87u_Thi%E1%BB%87n_monlau_1_wkjfs9.png</t>
  </si>
  <si>
    <t>lẩu chao</t>
  </si>
  <si>
    <t>nước lẩu chao , rau mồng tơi , rau cải thảo , rau cải bẹ xanh , nấm đùi gà , nấm bào ngư , tàu hủ ki dùng kèm với nước chấm chao chay và bún tươi</t>
  </si>
  <si>
    <t>furmented bean curd hotpot</t>
  </si>
  <si>
    <t>https://res.cloudinary.com/dix539uvo/image/upload/v1780326957/L%E1%BA%A9u_chao_monlau_fhdpv4.png</t>
  </si>
  <si>
    <t>lẩu kim chi hàn quốc</t>
  </si>
  <si>
    <t>nước lẩu kim chi , rau bắp cải tím , rau bắp cải thảo , nấm bào ngư dùng với mì hàn quốc</t>
  </si>
  <si>
    <t>korean kimchi hotpot</t>
  </si>
  <si>
    <t>https://firebasestorage.googleapis.com/v0/b/dieuthien-production.appspot.com/o/monlau%2Fla%CC%82%CC%89u%20kim%20chi-monlau.jpg?alt=media&amp;token=f8045917-53be-4d54-8783-9471cc306036</t>
  </si>
  <si>
    <t>lẩu uyên ương</t>
  </si>
  <si>
    <t>nước lẩu uyên ương, sa tế, rau vời mì hàn quốc</t>
  </si>
  <si>
    <t>lovebird hotpot</t>
  </si>
  <si>
    <t>https://res.cloudinary.com/dix539uvo/image/upload/v1780325969/L%E1%BA%A9u_uy%C3%AAn_%C6%B0%C6%A1ng_monlau_tasirl.png</t>
  </si>
  <si>
    <t>mainDish</t>
  </si>
  <si>
    <t>cơm chiên rong biển</t>
  </si>
  <si>
    <t>cơm, cá mặn chay, chà bông chay, rong biển chay, hành lá (có điều chỉnh)</t>
  </si>
  <si>
    <t>fried rice with seaweed</t>
  </si>
  <si>
    <t>https://firebasestorage.googleapis.com/v0/b/dieuthien-production.appspot.com/o/monchinh%2FCo%CC%9Bm%20chie%CC%82n%20rong%20bie%CC%82%CC%89n_monchinh.jpg?alt=media&amp;token=5df048ec-8ec7-4a03-912b-15bd37cde101</t>
  </si>
  <si>
    <t>cơm chiên thơm kiểu thái</t>
  </si>
  <si>
    <t>Cơm, thơm, đậu cô ve, cà rốt, bắp Mỹ, hành lá (có thể điều chỉnh)</t>
  </si>
  <si>
    <t>Thai fried rice with pineapple</t>
  </si>
  <si>
    <t>https://res.cloudinary.com/dix539uvo/image/upload/v1780151911/IMG_4007_sdommt.jpg</t>
  </si>
  <si>
    <t>cơm chiên dương châu</t>
  </si>
  <si>
    <t>Cơm chiên dương châu: Cơm, đậu cô ve, cà rốt, bắp Mỹ, hành lá (có thể điều chỉnh)</t>
  </si>
  <si>
    <t>Yang Chow fried rice</t>
  </si>
  <si>
    <t>https://res.cloudinary.com/dix539uvo/image/upload/v1780328762/C%C6%A1m_chi%C3%AAn_d%C6%B0%C6%A1ng_ch%C3%A2u_monchinh3483_b6mfks.png</t>
  </si>
  <si>
    <t>cơm trộn hàn quốc</t>
  </si>
  <si>
    <t>Cơm, giá đỗ, bắp cải tím, ớt chuông, bắp Mỹ, đậu phông rim mè, nấm chiên, dùng kèm xốt cơm trộn Hàn Quốc</t>
  </si>
  <si>
    <t>korean mixed rice</t>
  </si>
  <si>
    <t>https://firebasestorage.googleapis.com/v0/b/dieuthien-production.appspot.com/o/monchinh%2FCo%CC%9Bm%20tro%CC%A3%CC%82n%20Ha%CC%80n%20Quo%CC%82%CC%81c_monchinh.jpg?alt=media&amp;token=37e45fe4-94e0-48e9-a3c8-28a441007484</t>
  </si>
  <si>
    <t>cơm nấm lúc lắc &amp; canh rau củ</t>
  </si>
  <si>
    <t>Cơm, nấm đùi gà, ớt chuông, hành tây, tỏi phi, xốt lúc lắc dùng kèm canh rau củ</t>
  </si>
  <si>
    <t>saute dice mushroom rice &amp; curry soup</t>
  </si>
  <si>
    <t>https://res.cloudinary.com/dix539uvo/image/upload/v1780151906/IMG_3903_wndsvj.jpg</t>
  </si>
  <si>
    <t>cơm cà ri &amp; canh rau củ</t>
  </si>
  <si>
    <t>Cơm, nấm đùi gà, khoai lang, cà rốt, khoai môn, nước cốt dừa, gia vị cà ri, dùng kèm canh rau củ</t>
  </si>
  <si>
    <t>curry rice &amp; veggy soup</t>
  </si>
  <si>
    <t>https://res.cloudinary.com/dix539uvo/image/upload/v1780151903/IMG_3842_aqrotn.jpg</t>
  </si>
  <si>
    <t>MIẾN TRỘN</t>
  </si>
  <si>
    <t>miến Hàn Quốc, cải thìa, bắp cải tím, cà rốt, nấm bào ngư chiên, xốt miến trộn.</t>
  </si>
  <si>
    <t>https://firebasestorage.googleapis.com/v0/b/dieuthien-production.appspot.com/o/monchinh%2FMie%CC%82%CC%81n%20tro%CC%A3%CC%82n_monchinh.jpg?alt=media&amp;token=393756ca-c3e1-4280-b271-92e3143fd814</t>
  </si>
  <si>
    <t>PAD thái</t>
  </si>
  <si>
    <t>hủ tiếu, giá đỗ, hẹ, đậu hũ chiên, nấm chiên, xốt me, dùng kèm lạc rang, ớt, chanh.</t>
  </si>
  <si>
    <t>https://res.cloudinary.com/dix539uvo/image/upload/v1780328762/Pad_Th%C3%A1i_m%C3%B3n_n%E1%BB%95i_b%E1%BA%ADt_wmlydk.png</t>
  </si>
  <si>
    <t>HỦ TIẾU ÁP CHẢO</t>
  </si>
  <si>
    <t>Hủ tiếu, ớt chuông, cải thảo, hành tây, cải thài, đậu hũ chiên, nấm chiên, tỏi phi.</t>
  </si>
  <si>
    <t>https://firebasestorage.googleapis.com/v0/b/dieuthien-production.appspot.com/o/monchinh%2FHu%CC%89%20tie%CC%82%CC%81u%20a%CC%81p%20cha%CC%89o_monchinh.jpg?alt=media&amp;token=58f6d55b-9338-47d8-9020-aefd670886e2</t>
  </si>
  <si>
    <t>MÌ vàng XÀO THẬP CẨM</t>
  </si>
  <si>
    <t>Mì vàng, ớt chuông, cải thảo, hành tây, cải thài, đậu hũ chiên, nấm chiên, hành phi.</t>
  </si>
  <si>
    <t>https://firebasestorage.googleapis.com/v0/b/dieuthien-production.appspot.com/o/monchinh%2FMi%CC%80%20va%CC%80ng%20xa%CC%80o%20tha%CC%A3%CC%82p%20ca%CC%82%CC%89m_monchinh.jpg?alt=media&amp;token=80fe2512-f39c-4a72-ade1-5c84dea2f3dc</t>
  </si>
  <si>
    <t>MÌ Ý SỐT CÀ CHUA NẤM</t>
  </si>
  <si>
    <t>Mì Ý, nấm đùi gà, sốt cà chua,</t>
  </si>
  <si>
    <t>https://res.cloudinary.com/dix539uvo/image/upload/v1780151900/IMG_3810_edhmgr.jpg</t>
  </si>
  <si>
    <t>CÀ RI BÁNH MÌ</t>
  </si>
  <si>
    <t>cà ri, bánh mì</t>
  </si>
  <si>
    <t>https://firebasestorage.googleapis.com/v0/b/dieuthien-production.appspot.com/o/monchinh%2FCa%CC%80%20ri%20ba%CC%81nh%20mi%CC%80_monchinh.jpg?alt=media&amp;token=a3c8c9ed-fbab-438a-b731-bb0ddc048e50</t>
  </si>
  <si>
    <t>NẤm lÚC LẮC KHOAI TÂY</t>
  </si>
  <si>
    <t>nấm, khoai tây</t>
  </si>
  <si>
    <t>https://res.cloudinary.com/dix539uvo/image/upload/v1780325929/N%E1%BA%A5m_l%C3%BAc_l%E1%BA%AFc-khoai_t%C3%A2y_monchinh_fi29of.jpg</t>
  </si>
  <si>
    <t>soup</t>
  </si>
  <si>
    <t>CANH NẤM ĐẬU HỦ RONG BIỂN</t>
  </si>
  <si>
    <t>rong biển , tàu hủ, nấm bào ngư, cà rốt , hành phi , tiêu, gừng</t>
  </si>
  <si>
    <t>Seaweed Soup with Tofu &amp; Mushrooms</t>
  </si>
  <si>
    <t>https://res.cloudinary.com/dix539uvo/image/upload/v1780325975/Canh_n%E1%BA%A5m_t%C3%A0u_h%C5%A9_rong_bi%E1%BB%83n_moncanh-sup_uynxis.jpg</t>
  </si>
  <si>
    <t>CANH CHUA NAM BỘ</t>
  </si>
  <si>
    <t>bạc hà, đậu bắp, giá đỗ, cà chua, thơm, các loại rau thơm, tỏi phi</t>
  </si>
  <si>
    <t>Southern Vietnamese Sweet &amp; Sour Soup</t>
  </si>
  <si>
    <t>https://res.cloudinary.com/dix539uvo/image/upload/v1780328759/Canh_chua_Nam_B%E1%BB%99_moncanh_kj86vj.png</t>
  </si>
  <si>
    <t>CANH Cải xanh nấu nấm</t>
  </si>
  <si>
    <t>rau cải bẹ xanh, nấm bào ngư, gừng, tiêu</t>
  </si>
  <si>
    <t>Mustard Greens Soup with Mushrooms</t>
  </si>
  <si>
    <t>https://firebasestorage.googleapis.com/v0/b/dieuthien-production.appspot.com/o/moncanh%2FCanh%20ca%CC%89i%20xanh%20na%CC%82%CC%81u%20na%CC%82%CC%81m_moncanh.jpg?alt=media&amp;token=4ac81c66-d1b3-407a-ac11-6d029edee3e3</t>
  </si>
  <si>
    <t>SÚP TÓC TIÊN</t>
  </si>
  <si>
    <t>tóc tiên , bắp mĩ , cà rốt , nấm , đậu que , hành phi , tiêu , ngò rí</t>
  </si>
  <si>
    <t>Fat Choy Soup</t>
  </si>
  <si>
    <t>https://res.cloudinary.com/dix539uvo/image/upload/v1780328745/S%C3%BAp_t%C3%B3c_ti%C3%AAn_moncanh-sup_ddgdgd.png</t>
  </si>
  <si>
    <t>SÚP NẤM TUYẾT HẠT SEN</t>
  </si>
  <si>
    <t>nấm tuyết , hạt sen , nấm cà rốt , đậu que , hành phi , tiêu, ngò rí .</t>
  </si>
  <si>
    <t>Lotus seed &amp; White Wood-ear Mushroom Soup</t>
  </si>
  <si>
    <t>https://res.cloudinary.com/dix539uvo/image/upload/v1780328717/S%C3%BAp_n%E1%BA%A5m_tuy%E1%BA%BFt_h%E1%BA%B9t_sen_moncanh-sup_xawwyb.png</t>
  </si>
  <si>
    <t>saltDish</t>
  </si>
  <si>
    <t>RAU MUỐNG XÀO TỎI</t>
  </si>
  <si>
    <t>rau muống, tỏi phi dùng kèm nước tương</t>
  </si>
  <si>
    <t>Stir-fried Water Spinach with Garlic</t>
  </si>
  <si>
    <t>https://res.cloudinary.com/dix539uvo/image/upload/v1780151896/IMG_3752_obk7fm.jpg</t>
  </si>
  <si>
    <t>RAU MUỐNG XÀO NẤM</t>
  </si>
  <si>
    <t>rau muống, nấm bào ngư, tỏi phi dùng với nước tương</t>
  </si>
  <si>
    <t>Stir-fried Water Spinach with Mushrooms</t>
  </si>
  <si>
    <t>https://res.cloudinary.com/dix539uvo/image/upload/v1780151912/IMG_3989_yaeqvc.jpg</t>
  </si>
  <si>
    <t>RAU XÀO THẬP CẨM</t>
  </si>
  <si>
    <t>cải thảo, cà rốt, ớt chuông, cải thìa, tỏi phi dùng kèm với nước tương</t>
  </si>
  <si>
    <t>Mixed Stir-fried Veggies</t>
  </si>
  <si>
    <t>https://res.cloudinary.com/dix539uvo/image/upload/v1780328727/Rau_x%C3%A0o_th%E1%BA%ADp_c%E1%BA%A9m_monman__znkw6v.png</t>
  </si>
  <si>
    <t>RAU LUỘC KHO QUẸT</t>
  </si>
  <si>
    <t>cải thảo, khổ qua, cà rốt, cải thìa, đậu bắp, bầu dùng kèm với kho quẹt</t>
  </si>
  <si>
    <t>Boiled Veggie with Caramelized Salted Sauce</t>
  </si>
  <si>
    <t>https://res.cloudinary.com/dix539uvo/image/upload/v1780328714/Rau_lu%E1%BB%99c-kho_qu%E1%BA%B9t_monman_ot8eog.png</t>
  </si>
  <si>
    <t>CẢI THÌA SỐT NẤM ĐÔNG CÔ</t>
  </si>
  <si>
    <t>cải thìa, cà rốt, nấm đông cô, sốt dầu hào chay</t>
  </si>
  <si>
    <t>Bok-choy with Shiitake Sauce</t>
  </si>
  <si>
    <t>https://res.cloudinary.com/dix539uvo/image/upload/v1780325910/C%E1%BA%A3i_th%C3%ACa_s%E1%BB%91t_n%E1%BA%A5m_%C4%91%C3%B4ng_c%C3%B4_monman_mirtvr.jpg</t>
  </si>
  <si>
    <t>NẤM SỐT TIÊU ĐEN</t>
  </si>
  <si>
    <t>nấm đùi gà và nước sốt tiêu đen</t>
  </si>
  <si>
    <t>Stir-fried Mushroom with Black Pepper Sauce</t>
  </si>
  <si>
    <t>https://firebasestorage.googleapis.com/v0/b/dieuthien-production.appspot.com/o/monman%2FNa%CC%82%CC%81m%20so%CC%82%CC%81t%20tie%CC%82u%20%C4%91en_monman.jpg?alt=media&amp;token=c51fc7f0-559e-439d-bc5f-9a498a039977</t>
  </si>
  <si>
    <t>ĐẬU HỦ SỐT TỨ XUYÊN</t>
  </si>
  <si>
    <t>cà rốt, hành tây , nấm , nước sốt tứ xuyên</t>
  </si>
  <si>
    <t>Mapo Tofu</t>
  </si>
  <si>
    <t>https://res.cloudinary.com/dix539uvo/image/upload/v1780151897/IMG_3730_vh01tt.jpg</t>
  </si>
  <si>
    <t>ĐẬU HỦ CHƯNG TƯƠNG</t>
  </si>
  <si>
    <t>Steamed Tofu with Salted Soybean Sauce</t>
  </si>
  <si>
    <t>https://res.cloudinary.com/dix539uvo/image/upload/v1780151897/IMG_3762_zqt1wz.jpg</t>
  </si>
  <si>
    <t>ĐẬU HỦ XỐC SA TẾ</t>
  </si>
  <si>
    <t>đậu hủ chiên , hành tây , ớt chuông , nước sốt sa tế</t>
  </si>
  <si>
    <t>Satay Tofu</t>
  </si>
  <si>
    <t>https://firebasestorage.googleapis.com/v0/b/dieuthien-production.appspot.com/o/monman%2F%C4%90a%CC%A3%CC%82u%20hu%CC%83%20xo%CC%82%CC%81c%20sa%20te%CC%82%CC%81_monman.jpg?alt=media&amp;token=65951195-23c9-48f6-b738-618a4cbaf70a</t>
  </si>
  <si>
    <t>NẤM RƠM KHO TIÊU</t>
  </si>
  <si>
    <t>nấm rơm , hành tây , tiêu</t>
  </si>
  <si>
    <t>Braised Straw mushroom with Pepper</t>
  </si>
  <si>
    <t>https://firebasestorage.googleapis.com/v0/b/dieuthien-production.appspot.com/o/monman%2FNa%CC%82%CC%81m%20ro%CC%9Bm%20kho%20tie%CC%82u_monman.jpg?alt=media&amp;token=e4de3db4-c10b-4ba6-b15b-b73c0eb94761</t>
  </si>
  <si>
    <t>CHÂN NẤM KHO GỪNG</t>
  </si>
  <si>
    <t>Braised Mushroom with Ginger</t>
  </si>
  <si>
    <t>https://res.cloudinary.com/dix539uvo/image/upload/v1780325924/Ch%C3%A2n_n%E1%BA%A5m_kho_g%E1%BB%ABng_monman3871_wx1ylw.jpg</t>
  </si>
  <si>
    <t>dessert</t>
  </si>
  <si>
    <t>Chè tuyết yến dưỡng nhan</t>
  </si>
  <si>
    <t>Tuyết yếu , tuyết liên tử , nhựa đào , kỷ tử , táo đỏ , long nhãn</t>
  </si>
  <si>
    <t>Gum Tragacanth Refresh Beauty Sweet Soup</t>
  </si>
  <si>
    <t>https://res.cloudinary.com/dix539uvo/image/upload/v1780325938/Ch%C3%A8_tuy%E1%BA%BFt_y%E1%BA%BFn_d%C6%B0%E1%BB%A1ng_nhan_trangmieng_kqi251.png</t>
  </si>
  <si>
    <t>Chè hạt sen đông trùng hạ thảo</t>
  </si>
  <si>
    <t>hạt sen, kỷ tử , táo đỏ , đông trùng hạ thảo</t>
  </si>
  <si>
    <t>Lotus Seed Sweet Soup with Cordyceps</t>
  </si>
  <si>
    <t>https://res.cloudinary.com/dix539uvo/image/upload/v1780325935/Ch%C3%A8_h%E1%BA%A1t_sen_%C4%91%C3%B4ng_tr%C3%B9ng_h%E1%BA%A1_th%E1%BA%A3o_trangmieng_v3wb22.png</t>
  </si>
  <si>
    <t>Sữa chua dâu tằm</t>
  </si>
  <si>
    <t>sữa chua , mức dâu tằm , mức tắc rim , đá bào</t>
  </si>
  <si>
    <t>Mulberry Yogurt</t>
  </si>
  <si>
    <t>https://res.cloudinary.com/dix539uvo/image/upload/v1780325891/S%E1%BB%AFa_chua_d%C3%A2u_t%E1%BA%B1m_trangmieng_dngnth.jpg</t>
  </si>
  <si>
    <t>Panna Cotta (Việt quất, chanh dây, ổi, đào, dâu tằm)</t>
  </si>
  <si>
    <t>được nấu từ sữa đậu nành nguyên chất , gelatin dùng kèm với cái loại mức trái cây</t>
  </si>
  <si>
    <t>https://res.cloudinary.com/dix539uvo/image/upload/v1780151911/IMG_3983_mhs5br.jpg</t>
  </si>
  <si>
    <t>Image_preview</t>
  </si>
  <si>
    <t>tea</t>
  </si>
  <si>
    <t>TRÀ THẢO MỘC</t>
  </si>
  <si>
    <t>bông cúc , hoa hồng, kỷ tử , táo đỏ , đường phèn , đông trùng hạ thảo ( có thể dùng nóng hoặc lạnh )</t>
  </si>
  <si>
    <t>Herbal Tea</t>
  </si>
  <si>
    <t>daisies , rose, Goji berries , Apple , sugar , Cordyceps (can be used hot or cold)</t>
  </si>
  <si>
    <t>https://res.cloudinary.com/dix539uvo/image/upload/v1780325945/Tr%C3%A0_th%E1%BA%A3o_m%E1%BB%99c_trasangtao_pvaku6.jpg</t>
  </si>
  <si>
    <t>TRÀ ĐÀO CAM SẢ</t>
  </si>
  <si>
    <t>sả đập dập , trà đào , serup đào , mức đào , nước cốt tắc , đào miếng</t>
  </si>
  <si>
    <t>Orange Lemongrass Peach Tea</t>
  </si>
  <si>
    <t>crushed lemongrass, peach tea , peach syrup , peach jam , kumquat juice ,sliced peach</t>
  </si>
  <si>
    <t>https://res.cloudinary.com/dix539uvo/image/upload/v1780325873/Tr%C3%A0_%C4%91%C3%A0o_cam_s%E1%BA%A3_trasangtao_exv4fk.jpg</t>
  </si>
  <si>
    <t>TRÀ LÀI LỆ CHI</t>
  </si>
  <si>
    <t>serup vải , vải tươi</t>
  </si>
  <si>
    <t>Lychee Jasmine Tea</t>
  </si>
  <si>
    <t>Lychee syrup , fresh lychee</t>
  </si>
  <si>
    <t>https://res.cloudinary.com/dix539uvo/image/upload/v1780325893/Tr%C3%A0_l%C3%A0i_l%E1%BB%87_chi_trasangtao_rysrnm.jpg</t>
  </si>
  <si>
    <t>TRÀ ỔI HỒNG</t>
  </si>
  <si>
    <t>nước cốt tắc , mức ổi , serup ổi , ổi tươi</t>
  </si>
  <si>
    <t>Pink Guava Tea</t>
  </si>
  <si>
    <t>kumquat juice , guava jam , guava syrup, fresh guava</t>
  </si>
  <si>
    <t>https://res.cloudinary.com/dix539uvo/image/upload/v1780325881/Tr%C3%A0_%E1%BB%95i_h%E1%BB%93ng_trasangtao_wmmicw.jpg</t>
  </si>
  <si>
    <t>TRÀ GỪNG MẬT ONG</t>
  </si>
  <si>
    <t>trà gừng , mật ong , gừng cắt lát</t>
  </si>
  <si>
    <t>Honey Ginger Hot Tea</t>
  </si>
  <si>
    <t>ginger tea , honey , sliced ginger</t>
  </si>
  <si>
    <t>https://res.cloudinary.com/dix539uvo/image/upload/v1780325923/Tr%C3%A0_g%E1%BB%ABng_m%E1%BA%ADt_ong_trasangtao_fpdkuv.jpg</t>
  </si>
  <si>
    <t>TRÀ TẮC XÍ MUỘI</t>
  </si>
  <si>
    <t>xí muội , trà lipton , nước cốt tắc , mức tắc rim</t>
  </si>
  <si>
    <t>Sooty Kumquat Tea</t>
  </si>
  <si>
    <t>soot , lipton tea , kumquat juice , Kumquat Marmalade</t>
  </si>
  <si>
    <t>https://res.cloudinary.com/dix539uvo/image/upload/v1780325888/Tr%C3%A0_t%E1%BA%AFc_x%C3%AD_mu%E1%BB%99i_trasangtao_hurnp9.jpg</t>
  </si>
  <si>
    <t>TRÀ LÀI HẠT ĐÁC</t>
  </si>
  <si>
    <t>nước ép thơm thêm hạt đác rim thơm</t>
  </si>
  <si>
    <t>Arenga pinnata Jasmine Tea</t>
  </si>
  <si>
    <t>pineapple juice added with arenga pinnata</t>
  </si>
  <si>
    <t>https://res.cloudinary.com/dix539uvo/image/upload/v1780325926/Tr%C3%A0_l%C3%A0i_h%E1%BA%A1t_%C4%91%C3%A1c_trasangtao_p9smi5.jpg</t>
  </si>
  <si>
    <t>juice</t>
  </si>
  <si>
    <t>thơm ép</t>
  </si>
  <si>
    <t>nước ép thơm nguyên chất</t>
  </si>
  <si>
    <t>Pineapple</t>
  </si>
  <si>
    <t>pineapple juice</t>
  </si>
  <si>
    <t>https://res.cloudinary.com/dix539uvo/image/upload/v1780326551/Th%C6%A1mep_hom2ry.jpg</t>
  </si>
  <si>
    <t>cam ép</t>
  </si>
  <si>
    <t>nước ép cam nguyên chất</t>
  </si>
  <si>
    <t>Orange</t>
  </si>
  <si>
    <t>orange juice</t>
  </si>
  <si>
    <t>https://res.cloudinary.com/dix539uvo/image/upload/v1780326550/camep_xlfuo2.jpg</t>
  </si>
  <si>
    <t>dưa hấu</t>
  </si>
  <si>
    <t>nước ép dưa hấu nguyên chất</t>
  </si>
  <si>
    <t>Watermelon</t>
  </si>
  <si>
    <t>watermelon juice</t>
  </si>
  <si>
    <t>https://res.cloudinary.com/dix539uvo/image/upload/v1780326550/duahau_jgctft.jpg</t>
  </si>
  <si>
    <t>chanh dây</t>
  </si>
  <si>
    <t>nước ép chanh dây cô đặc , serup chanh dây , mức chanh dây</t>
  </si>
  <si>
    <t>Passionfruit</t>
  </si>
  <si>
    <t>Passion fruit juice, passion fruit syrup, passion fruit jam</t>
  </si>
  <si>
    <t>https://res.cloudinary.com/dix539uvo/image/upload/v1780326550/chanhday_bry0vw.jpg</t>
  </si>
  <si>
    <t>Cam cà rốt</t>
  </si>
  <si>
    <t>nước ép cam, cà rốt</t>
  </si>
  <si>
    <t>Orange Carrot</t>
  </si>
  <si>
    <t>https://res.cloudinary.com/dix539uvo/image/upload/v1780326549/camcarot_mlqaxx.jpg</t>
  </si>
  <si>
    <t>Thơm cà rốt</t>
  </si>
  <si>
    <t>mix nước ép nguyên chất của thơm và cà rốt</t>
  </si>
  <si>
    <t>Pineapple Carrot</t>
  </si>
  <si>
    <t>mix pineapple juice and carrot juice</t>
  </si>
  <si>
    <t>https://res.cloudinary.com/dix539uvo/image/upload/v1780326637/thomcarot1_pylxs5.jpg</t>
  </si>
  <si>
    <t>soda</t>
  </si>
  <si>
    <t>Soda Biển xanh</t>
  </si>
  <si>
    <t>serup biển xanh , serup bạc hà , nước cốt chanh , 1-2 lá bạc hà đập dập , soda</t>
  </si>
  <si>
    <t>Blue ocean</t>
  </si>
  <si>
    <t>blue sea serum, mint serum, lemon juice, 1-2 crushed mint leaves, soda</t>
  </si>
  <si>
    <t>https://res.cloudinary.com/dix539uvo/image/upload/v1780325980/Soda_Bi%E1%BB%83n_xanh_soda_f4kydh.png</t>
  </si>
  <si>
    <t>Soda Chanh dây nhiệt đới</t>
  </si>
  <si>
    <t xml:space="preserve">serup chanh dây , mức chanh dây , soda </t>
  </si>
  <si>
    <t>tropical passionfruit</t>
  </si>
  <si>
    <t>passion fruit serum, passion fruit syrup, soda</t>
  </si>
  <si>
    <t>https://res.cloudinary.com/dix539uvo/image/upload/v1780325992/Soda_Chanh_d%C3%A2y_soda_mszjus.png</t>
  </si>
  <si>
    <t>Soda Chanh tươi</t>
  </si>
  <si>
    <t>nước cốt chanh tươi , serup đường , soda</t>
  </si>
  <si>
    <t>Fresh &amp; sour</t>
  </si>
  <si>
    <t>fresh lemon juice, sugar serum, soda</t>
  </si>
  <si>
    <t>https://res.cloudinary.com/dix539uvo/image/upload/v1780325988/Soda_Chanh_t%C6%B0%C6%A1i_soda_or3jrz.png</t>
  </si>
  <si>
    <t>Soda Việt quất</t>
  </si>
  <si>
    <t>nước cốt việt quốc, serup đường , soda</t>
  </si>
  <si>
    <t>purple dream</t>
  </si>
  <si>
    <t>blueberry juice, sugar serum, soda</t>
  </si>
  <si>
    <t>https://res.cloudinary.com/dix539uvo/image/upload/v1780325990/Soda_Vi%E1%BB%87t_qu%E1%BA%A5t_Soda_fkftwl.png</t>
  </si>
  <si>
    <t>thaiTea</t>
  </si>
  <si>
    <t>Trà sữa Thái xanh</t>
  </si>
  <si>
    <t>Thai Green Milk Tea</t>
  </si>
  <si>
    <t>https://res.cloudinary.com/dix539uvo/image/upload/v1780325929/Tr%C3%A0_s%E1%BB%AFa_Th%C3%A1i_xanh_trathai_jso0yy.jpg</t>
  </si>
  <si>
    <t>Trà Thái xanh chanh mật ong</t>
  </si>
  <si>
    <t>Thai green tea with lemon and honey</t>
  </si>
  <si>
    <t>https://res.cloudinary.com/dix539uvo/image/upload/v1780325996/Tr%C3%A0_Th%C3%A1i_xanh_chanh_m%E1%BA%ADt_ong_trathai_kerx8n.jpg</t>
  </si>
  <si>
    <t>coffee</t>
  </si>
  <si>
    <t>Cà phê Đen đá | nóng</t>
  </si>
  <si>
    <t>cà phê nguyên chất cùng một chút đường cát</t>
  </si>
  <si>
    <t>Iced | Hot Black Coffee</t>
  </si>
  <si>
    <t>pure coffee with a little granulated sugar</t>
  </si>
  <si>
    <t>Cà phê Sữa đá | nóng</t>
  </si>
  <si>
    <t>cà phê nguyên chất , sữa đặc</t>
  </si>
  <si>
    <t>Iced | Hot Condensed Milk Coffee</t>
  </si>
  <si>
    <t>pure coffee , condensed milk</t>
  </si>
  <si>
    <t>Bạc xỉu</t>
  </si>
  <si>
    <t>cà phê nguyên chất , sữa tươi , sữa đặc</t>
  </si>
  <si>
    <t>White Coffee</t>
  </si>
  <si>
    <t>pure coffee , Fresh milk , condensed milk</t>
  </si>
  <si>
    <t>Cà phê Kem Muối</t>
  </si>
  <si>
    <t>cà phê nguyên chất , sữa đặc , kem muối</t>
  </si>
  <si>
    <t>Salted Cream Coffee</t>
  </si>
  <si>
    <t>pure coffee , condensed milk , salt cream</t>
  </si>
  <si>
    <t>softdrink</t>
  </si>
  <si>
    <t>Cocacola</t>
  </si>
  <si>
    <t>cocacola</t>
  </si>
  <si>
    <t>Pepsi</t>
  </si>
  <si>
    <t>pepsi</t>
  </si>
  <si>
    <t>7 up</t>
  </si>
  <si>
    <t>Sting</t>
  </si>
  <si>
    <t>sting</t>
  </si>
  <si>
    <t>Nước suối</t>
  </si>
  <si>
    <t>mineral water</t>
  </si>
  <si>
    <t>Type</t>
  </si>
  <si>
    <t>food</t>
  </si>
  <si>
    <t>appetizer</t>
  </si>
  <si>
    <t>ricePortion</t>
  </si>
  <si>
    <t>drink</t>
  </si>
  <si>
    <t>Food</t>
  </si>
  <si>
    <t>Drink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</si>
</sst>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đ-42A]"/>
    <numFmt numFmtId="165" formatCode="#,##0.00&quot;₫&quot;"/>
  </numFmts>
  <fonts count="15">
    <font>
      <sz val="10.0"/>
      <color rgb="FF000000"/>
      <name val="Arial"/>
      <scheme val="minor"/>
    </font>
    <font>
      <b/>
      <sz val="14.0"/>
      <color rgb="FF000000"/>
      <name val="Arial"/>
    </font>
    <font>
      <b/>
      <sz val="14.0"/>
      <color theme="1"/>
      <name val="Arial"/>
      <scheme val="minor"/>
    </font>
    <font>
      <color rgb="FF000000"/>
      <name val="Arial"/>
    </font>
    <font>
      <u/>
      <color rgb="FF0000FF"/>
      <name val="Arial"/>
    </font>
    <font>
      <sz val="11.0"/>
      <color rgb="FF0C0D0E"/>
      <name val="-apple-system"/>
    </font>
    <font>
      <color rgb="FF1F1F1F"/>
      <name val="Arial"/>
    </font>
    <font>
      <color rgb="FF0D1216"/>
      <name val="&quot;Segoe UI&quot;"/>
    </font>
    <font>
      <u/>
      <color rgb="FF0000FF"/>
      <name val="Arial"/>
    </font>
    <font>
      <color theme="1"/>
      <name val="Arial"/>
      <scheme val="minor"/>
    </font>
    <font>
      <u/>
      <color rgb="FF000000"/>
      <name val="Arial"/>
    </font>
    <font>
      <sz val="9.0"/>
      <color rgb="FF000000"/>
      <name val="&quot;Google Sans Mono&quot;"/>
    </font>
    <font>
      <color theme="1"/>
      <name val="Arial"/>
    </font>
    <font>
      <u/>
      <color rgb="FF0000FF"/>
      <name val="Arial"/>
    </font>
    <font>
      <sz val="9.0"/>
      <color theme="1"/>
      <name val="&quot;Google Sans Mono&quot;"/>
    </font>
  </fonts>
  <fills count="3">
    <fill>
      <patternFill patternType="none"/>
    </fill>
    <fill>
      <patternFill patternType="lightGray"/>
    </fill>
    <fill>
      <patternFill patternType="solid">
        <fgColor rgb="FFFFFFFF"/>
        <bgColor rgb="FFFFFFFF"/>
      </patternFill>
    </fill>
  </fills>
  <borders count="5">
    <border/>
    <border>
      <left style="thin">
        <color rgb="FFAAAAAA"/>
      </left>
      <right style="thin">
        <color rgb="FFAAAAAA"/>
      </right>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bottom style="thin">
        <color rgb="FFAAAAAA"/>
      </bottom>
    </border>
    <border>
      <right style="thin">
        <color rgb="FFAAAAAA"/>
      </right>
      <bottom style="thin">
        <color rgb="FFAAAAAA"/>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0"/>
    </xf>
    <xf borderId="0" fillId="0" fontId="2" numFmtId="0" xfId="0" applyAlignment="1" applyFont="1">
      <alignment readingOrder="0" vertical="center"/>
    </xf>
    <xf borderId="0" fillId="0" fontId="2" numFmtId="164" xfId="0" applyAlignment="1" applyFont="1" applyNumberFormat="1">
      <alignment readingOrder="0" vertical="center"/>
    </xf>
    <xf borderId="0" fillId="0" fontId="2" numFmtId="0" xfId="0" applyAlignment="1" applyFont="1">
      <alignment readingOrder="0" shrinkToFit="0" vertical="center" wrapText="1"/>
    </xf>
    <xf borderId="0" fillId="2" fontId="3" numFmtId="0" xfId="0" applyAlignment="1" applyFill="1" applyFont="1">
      <alignment readingOrder="0" shrinkToFit="0" vertical="center" wrapText="0"/>
    </xf>
    <xf borderId="0" fillId="2" fontId="3" numFmtId="0" xfId="0" applyAlignment="1" applyFont="1">
      <alignment readingOrder="0" vertical="center"/>
    </xf>
    <xf borderId="0" fillId="2" fontId="3" numFmtId="165" xfId="0" applyAlignment="1" applyFont="1" applyNumberFormat="1">
      <alignment horizontal="right" readingOrder="0" shrinkToFit="0" vertical="center" wrapText="0"/>
    </xf>
    <xf borderId="0" fillId="2" fontId="3" numFmtId="0" xfId="0" applyAlignment="1" applyFont="1">
      <alignment readingOrder="0" shrinkToFit="0" vertical="center" wrapText="1"/>
    </xf>
    <xf borderId="0" fillId="2" fontId="4" numFmtId="0" xfId="0" applyAlignment="1" applyFont="1">
      <alignment readingOrder="0" shrinkToFit="0" vertical="center" wrapText="0"/>
    </xf>
    <xf borderId="0" fillId="2" fontId="3" numFmtId="0" xfId="0" applyAlignment="1" applyFont="1">
      <alignment horizontal="center" readingOrder="0" shrinkToFit="0" vertical="center" wrapText="0"/>
    </xf>
    <xf borderId="0" fillId="2" fontId="5" numFmtId="0" xfId="0" applyAlignment="1" applyFont="1">
      <alignment horizontal="left"/>
    </xf>
    <xf borderId="0" fillId="2" fontId="3" numFmtId="164" xfId="0" applyAlignment="1" applyFont="1" applyNumberFormat="1">
      <alignment horizontal="right" readingOrder="0" shrinkToFit="0" vertical="center" wrapText="0"/>
    </xf>
    <xf borderId="0" fillId="2" fontId="6" numFmtId="0" xfId="0" applyAlignment="1" applyFont="1">
      <alignment readingOrder="0" shrinkToFit="0" vertical="center" wrapText="0"/>
    </xf>
    <xf borderId="0" fillId="2" fontId="7" numFmtId="0" xfId="0" applyAlignment="1" applyFont="1">
      <alignment readingOrder="0" shrinkToFit="0" vertical="center" wrapText="1"/>
    </xf>
    <xf borderId="0" fillId="2" fontId="3" numFmtId="0" xfId="0" applyAlignment="1" applyFont="1">
      <alignment shrinkToFit="0" vertical="center" wrapText="0"/>
    </xf>
    <xf borderId="0" fillId="2" fontId="8" numFmtId="0" xfId="0" applyAlignment="1" applyFont="1">
      <alignment readingOrder="0" shrinkToFit="0" vertical="center" wrapText="0"/>
    </xf>
    <xf borderId="1" fillId="0" fontId="1" numFmtId="0" xfId="0" applyAlignment="1" applyBorder="1" applyFont="1">
      <alignment readingOrder="0" shrinkToFit="0" wrapText="0"/>
    </xf>
    <xf borderId="2" fillId="0" fontId="1" numFmtId="0" xfId="0" applyAlignment="1" applyBorder="1" applyFont="1">
      <alignment readingOrder="0" shrinkToFit="0" wrapText="0"/>
    </xf>
    <xf borderId="2" fillId="0" fontId="1" numFmtId="164" xfId="0" applyAlignment="1" applyBorder="1" applyFont="1" applyNumberFormat="1">
      <alignment readingOrder="0" shrinkToFit="0" wrapText="0"/>
    </xf>
    <xf borderId="0" fillId="0" fontId="1" numFmtId="0" xfId="0" applyAlignment="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xf>
    <xf borderId="4" fillId="0" fontId="3" numFmtId="164" xfId="0" applyAlignment="1" applyBorder="1" applyFont="1" applyNumberFormat="1">
      <alignment horizontal="right" readingOrder="0" shrinkToFit="0" wrapText="0"/>
    </xf>
    <xf borderId="4" fillId="0" fontId="3" numFmtId="0" xfId="0" applyAlignment="1" applyBorder="1" applyFont="1">
      <alignment readingOrder="0" shrinkToFit="0" wrapText="0"/>
    </xf>
    <xf borderId="0" fillId="0" fontId="9" numFmtId="49" xfId="0" applyFont="1" applyNumberFormat="1"/>
    <xf borderId="0" fillId="0" fontId="9" numFmtId="49" xfId="0" applyAlignment="1" applyFont="1" applyNumberFormat="1">
      <alignment readingOrder="0"/>
    </xf>
    <xf borderId="4" fillId="0" fontId="10" numFmtId="0" xfId="0" applyAlignment="1" applyBorder="1" applyFont="1">
      <alignment readingOrder="0" shrinkToFit="0" wrapText="0"/>
    </xf>
    <xf borderId="4" fillId="0" fontId="3" numFmtId="0" xfId="0" applyAlignment="1" applyBorder="1" applyFont="1">
      <alignment horizontal="center" readingOrder="0" shrinkToFit="0" wrapText="0"/>
    </xf>
    <xf borderId="0" fillId="0" fontId="11" numFmtId="0" xfId="0" applyFont="1"/>
    <xf borderId="3" fillId="0" fontId="12" numFmtId="0" xfId="0" applyAlignment="1" applyBorder="1" applyFont="1">
      <alignment readingOrder="0" shrinkToFit="0" wrapText="0"/>
    </xf>
    <xf borderId="4" fillId="0" fontId="12" numFmtId="0" xfId="0" applyAlignment="1" applyBorder="1" applyFont="1">
      <alignment readingOrder="0"/>
    </xf>
    <xf borderId="4" fillId="0" fontId="12" numFmtId="164" xfId="0" applyAlignment="1" applyBorder="1" applyFont="1" applyNumberFormat="1">
      <alignment horizontal="right" readingOrder="0" shrinkToFit="0" wrapText="0"/>
    </xf>
    <xf borderId="4" fillId="0" fontId="12" numFmtId="0" xfId="0" applyAlignment="1" applyBorder="1" applyFont="1">
      <alignment readingOrder="0" shrinkToFit="0" wrapText="0"/>
    </xf>
    <xf borderId="4" fillId="0" fontId="13" numFmtId="0" xfId="0" applyAlignment="1" applyBorder="1" applyFont="1">
      <alignment readingOrder="0" shrinkToFit="0" wrapText="0"/>
    </xf>
    <xf borderId="4" fillId="0" fontId="12" numFmtId="0" xfId="0" applyAlignment="1" applyBorder="1" applyFont="1">
      <alignment horizontal="center" readingOrder="0" shrinkToFit="0" wrapText="0"/>
    </xf>
    <xf borderId="0" fillId="0" fontId="14" numFmtId="0" xfId="0" applyFont="1"/>
    <xf borderId="4" fillId="0" fontId="3" numFmtId="0" xfId="0" applyAlignment="1" applyBorder="1" applyFont="1">
      <alignment shrinkToFit="0" wrapText="0"/>
    </xf>
    <xf borderId="0" fillId="0" fontId="3" numFmtId="0" xfId="0" applyAlignment="1" applyFont="1">
      <alignment readingOrder="0" shrinkToFit="0" wrapText="0"/>
    </xf>
    <xf borderId="3" fillId="0" fontId="3" numFmtId="164" xfId="0" applyAlignment="1" applyBorder="1" applyFont="1" applyNumberFormat="1">
      <alignment horizontal="right" readingOrder="0" shrinkToFit="0" wrapText="0"/>
    </xf>
    <xf borderId="2" fillId="0" fontId="3" numFmtId="0" xfId="0" applyAlignment="1" applyBorder="1" applyFont="1">
      <alignment readingOrder="0" shrinkToFit="0" wrapText="0"/>
    </xf>
    <xf borderId="0" fillId="0" fontId="9" numFmtId="0" xfId="0" applyAlignment="1" applyFon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irebasestorage.googleapis.com/v0/b/dieuthien-production.appspot.com/o/moncanh%2FCanh%20ca%CC%89i%20xanh%20na%CC%82%CC%81u%20na%CC%82%CC%81m_moncanh.jpg?alt=media&amp;token=4ac81c66-d1b3-407a-ac11-6d029edee3e3" TargetMode="External"/><Relationship Id="rId42" Type="http://schemas.openxmlformats.org/officeDocument/2006/relationships/hyperlink" Target="https://firebasestorage.googleapis.com/v0/b/dieuthien-production.appspot.com/o/moncanh%2FSu%CC%81p%20na%CC%82%CC%81m%20tuye%CC%82%CC%81t%20he%CC%A3t%20sen_moncanh.jpg?alt=media&amp;token=c1843967-442e-44f4-aa0d-8a1d7a8f0c15" TargetMode="External"/><Relationship Id="rId41" Type="http://schemas.openxmlformats.org/officeDocument/2006/relationships/hyperlink" Target="https://firebasestorage.googleapis.com/v0/b/dieuthien-production.appspot.com/o/moncanh%2FSu%CC%81p%20to%CC%81c%20tie%CC%82n_moncanh.jpg?alt=media&amp;token=3078a31b-51f1-4ce8-a399-075cedf7e44b" TargetMode="External"/><Relationship Id="rId44" Type="http://schemas.openxmlformats.org/officeDocument/2006/relationships/hyperlink" Target="https://firebasestorage.googleapis.com/v0/b/dieuthien-production.appspot.com/o/monman%2FRau%20muo%CC%82%CC%81ng%20xa%CC%80o%20na%CC%82%CC%81m_monman.jpg?alt=media&amp;token=31da0d7b-f1b6-480a-9f9b-3829e365d284" TargetMode="External"/><Relationship Id="rId43" Type="http://schemas.openxmlformats.org/officeDocument/2006/relationships/hyperlink" Target="https://firebasestorage.googleapis.com/v0/b/dieuthien-production.appspot.com/o/monman%2Frau%20muo%CC%82%CC%81ng%20xa%CC%80o%20to%CC%89i_monxao.jpg?alt=media&amp;token=2da8f0f4-0282-4ae1-ba5f-1c7fb0c1c4d3" TargetMode="External"/><Relationship Id="rId46" Type="http://schemas.openxmlformats.org/officeDocument/2006/relationships/hyperlink" Target="https://firebasestorage.googleapis.com/v0/b/dieuthien-production.appspot.com/o/monman%2FRau%20luo%CC%A3%CC%82c-kho%20que%CC%A3t_monman.jpg?alt=media&amp;token=3886a8a4-402d-4df7-a8c4-4d96b2e8af02" TargetMode="External"/><Relationship Id="rId45" Type="http://schemas.openxmlformats.org/officeDocument/2006/relationships/hyperlink" Target="https://firebasestorage.googleapis.com/v0/b/dieuthien-production.appspot.com/o/monman%2FRau%20xa%CC%80o%20tha%CC%A3%CC%82p%20ca%CC%82%CC%89m_monman_.jpg?alt=media&amp;token=ef486948-d904-45a8-8b53-07cefead04f6" TargetMode="External"/><Relationship Id="rId1" Type="http://schemas.openxmlformats.org/officeDocument/2006/relationships/hyperlink" Target="https://res.cloudinary.com/dix539uvo/image/upload/v1775977936/salad-rau_vyjipw.jpg" TargetMode="External"/><Relationship Id="rId2" Type="http://schemas.openxmlformats.org/officeDocument/2006/relationships/hyperlink" Target="https://firebasestorage.googleapis.com/v0/b/dieuthien-production.appspot.com/o/khaivi%2FNa%CC%82%CC%81m%20xu%CC%81c%20ba%CC%81nh%20%C4%91a_monkhaivi.jpg?alt=media&amp;token=efc9ec85-3da1-42b0-a0f6-c8c1d5147086" TargetMode="External"/><Relationship Id="rId3" Type="http://schemas.openxmlformats.org/officeDocument/2006/relationships/hyperlink" Target="https://res.cloudinary.com/dix539uvo/image/upload/v1780151896/IMG_3758_mdxtav.jpg" TargetMode="External"/><Relationship Id="rId4" Type="http://schemas.openxmlformats.org/officeDocument/2006/relationships/hyperlink" Target="https://firebasestorage.googleapis.com/v0/b/dieuthien-production.appspot.com/o/dacbiet%2FNa%CC%82%CC%81m%20ba%CC%80o%20ngu%CC%9B%20xo%CC%82%CC%81c%20muo%CC%82%CC%81i%20HongKong_dacbiet.jpg?alt=media&amp;token=7158a1fe-cd82-4452-a322-31ac284da192" TargetMode="External"/><Relationship Id="rId9" Type="http://schemas.openxmlformats.org/officeDocument/2006/relationships/hyperlink" Target="https://firebasestorage.googleapis.com/v0/b/dieuthien-production.appspot.com/o/khaivi%2FGo%CC%89i%20ngo%CC%81%20sen_khaivi.jpg?alt=media&amp;token=20ceda2b-3410-4a1e-be24-41204e4bd339" TargetMode="External"/><Relationship Id="rId48" Type="http://schemas.openxmlformats.org/officeDocument/2006/relationships/hyperlink" Target="https://firebasestorage.googleapis.com/v0/b/dieuthien-production.appspot.com/o/monman%2FNa%CC%82%CC%81m%20so%CC%82%CC%81t%20tie%CC%82u%20%C4%91en_monman.jpg?alt=media&amp;token=c51fc7f0-559e-439d-bc5f-9a498a039977" TargetMode="External"/><Relationship Id="rId47" Type="http://schemas.openxmlformats.org/officeDocument/2006/relationships/hyperlink" Target="https://firebasestorage.googleapis.com/v0/b/dieuthien-production.appspot.com/o/monman%2FCa%CC%89i%20thi%CC%80a%20so%CC%82%CC%81t%20na%CC%82%CC%81m%20%C4%91o%CC%82ng%20co%CC%82_monman.JPG?alt=media&amp;token=b3e282e4-4ca1-4029-ba19-b514d3c6840e" TargetMode="External"/><Relationship Id="rId49" Type="http://schemas.openxmlformats.org/officeDocument/2006/relationships/hyperlink" Target="https://firebasestorage.googleapis.com/v0/b/dieuthien-production.appspot.com/o/monman%2F%C4%90a%CC%A3%CC%82u%20hu%CC%83%20non%20so%CC%82%CC%81t%20tu%CC%9B%CC%81%20xuye%CC%82n_monman.jpg?alt=media&amp;token=127fdafd-749c-4f24-82bf-c0a0f086f3f7" TargetMode="External"/><Relationship Id="rId5" Type="http://schemas.openxmlformats.org/officeDocument/2006/relationships/hyperlink" Target="https://firebasestorage.googleapis.com/v0/b/dieuthien-production.appspot.com/o/dacbiet%2F%C4%90a%CC%A3%CC%82u%20hu%CC%83%20non%20rong%20bie%CC%82%CC%89n%20so%CC%82%CC%81t%20Teriyaki_dacbiet.jpg?alt=media&amp;token=0e241623-8b85-4ba3-85ad-3d8b61a3b173" TargetMode="External"/><Relationship Id="rId6" Type="http://schemas.openxmlformats.org/officeDocument/2006/relationships/hyperlink" Target="https://res.cloudinary.com/dix539uvo/image/upload/v1780151897/IMG_3736_ayg9jn.jpg" TargetMode="External"/><Relationship Id="rId7" Type="http://schemas.openxmlformats.org/officeDocument/2006/relationships/hyperlink" Target="https://firebasestorage.googleapis.com/v0/b/dieuthien-production.appspot.com/o/khaivi%2FGo%CC%89i%20na%CC%82%CC%81m%20ba%CC%80o%20ngu%CC%9B%20xe%CC%81%20tro%CC%A3%CC%82n_%20khaivi.jpg?alt=media&amp;token=ad85f3fa-c32c-4d96-8404-9275edd7cbb3" TargetMode="External"/><Relationship Id="rId8" Type="http://schemas.openxmlformats.org/officeDocument/2006/relationships/hyperlink" Target="https://firebasestorage.googleapis.com/v0/b/dieu-thien-restaurant.appspot.com/o/G%E1%BB%8Fi%20Somtum%20Th%C3%A1i%20Lan_khaivi3447.png?alt=media&amp;token=15cd1462-0bbc-4ef9-9dbd-e36e366b7aca" TargetMode="External"/><Relationship Id="rId31" Type="http://schemas.openxmlformats.org/officeDocument/2006/relationships/hyperlink" Target="https://firebasestorage.googleapis.com/v0/b/dieuthien-production.appspot.com/o/monchinh%2FMie%CC%82%CC%81n%20tro%CC%A3%CC%82n_monchinh.jpg?alt=media&amp;token=393756ca-c3e1-4280-b271-92e3143fd814" TargetMode="External"/><Relationship Id="rId30" Type="http://schemas.openxmlformats.org/officeDocument/2006/relationships/hyperlink" Target="https://firebasestorage.googleapis.com/v0/b/dieuthien-production.appspot.com/o/monchinh%2FCo%CC%9Bm%20ca%CC%80%20ri_comphan.jpg?alt=media&amp;token=97a3cb45-96b9-413c-aa89-da669665f288" TargetMode="External"/><Relationship Id="rId33" Type="http://schemas.openxmlformats.org/officeDocument/2006/relationships/hyperlink" Target="https://firebasestorage.googleapis.com/v0/b/dieuthien-production.appspot.com/o/monchinh%2FHu%CC%89%20tie%CC%82%CC%81u%20a%CC%81p%20cha%CC%89o_monchinh.jpg?alt=media&amp;token=58f6d55b-9338-47d8-9020-aefd670886e2" TargetMode="External"/><Relationship Id="rId32" Type="http://schemas.openxmlformats.org/officeDocument/2006/relationships/hyperlink" Target="https://res.cloudinary.com/dix539uvo/image/upload/v1775977936/salad-rau_vyjipw.jpg" TargetMode="External"/><Relationship Id="rId35" Type="http://schemas.openxmlformats.org/officeDocument/2006/relationships/hyperlink" Target="https://firebasestorage.googleapis.com/v0/b/dieuthien-production.appspot.com/o/monchinh%2FMi%CC%80%20Y%CC%81%20so%CC%82%CC%81t%20ca%CC%80%20chua%20na%CC%82%CC%81m%20hu%CC%9Bo%CC%9Bng_monchinh.jpg?alt=media&amp;token=c7979b2d-d046-47df-96ae-1a129346ed59" TargetMode="External"/><Relationship Id="rId34" Type="http://schemas.openxmlformats.org/officeDocument/2006/relationships/hyperlink" Target="https://firebasestorage.googleapis.com/v0/b/dieuthien-production.appspot.com/o/monchinh%2FMi%CC%80%20va%CC%80ng%20xa%CC%80o%20tha%CC%A3%CC%82p%20ca%CC%82%CC%89m_monchinh.jpg?alt=media&amp;token=80fe2512-f39c-4a72-ade1-5c84dea2f3dc" TargetMode="External"/><Relationship Id="rId37" Type="http://schemas.openxmlformats.org/officeDocument/2006/relationships/hyperlink" Target="https://firebasestorage.googleapis.com/v0/b/dieuthien-production.appspot.com/o/monchinh%2FNa%CC%82%CC%81m%20lu%CC%81c%20la%CC%86%CC%81c-khoai%20ta%CC%82y_monchinh.JPG?alt=media&amp;token=f7791b30-7bfa-4b02-860c-528b01a2a6b8" TargetMode="External"/><Relationship Id="rId36" Type="http://schemas.openxmlformats.org/officeDocument/2006/relationships/hyperlink" Target="https://firebasestorage.googleapis.com/v0/b/dieuthien-production.appspot.com/o/monchinh%2FCa%CC%80%20ri%20ba%CC%81nh%20mi%CC%80_monchinh.jpg?alt=media&amp;token=a3c8c9ed-fbab-438a-b731-bb0ddc048e50" TargetMode="External"/><Relationship Id="rId39" Type="http://schemas.openxmlformats.org/officeDocument/2006/relationships/hyperlink" Target="https://firebasestorage.googleapis.com/v0/b/dieuthien-production.appspot.com/o/moncanh%2FCanh%20chua%20Nam%20Bo%CC%A3%CC%82_moncanh.jpg?alt=media&amp;token=cb5f1c84-5c58-4665-8265-7a9d2270a86e" TargetMode="External"/><Relationship Id="rId38" Type="http://schemas.openxmlformats.org/officeDocument/2006/relationships/hyperlink" Target="https://firebasestorage.googleapis.com/v0/b/dieuthien-production.appspot.com/o/moncanh%2FCanh%20na%CC%82%CC%81m%20ta%CC%80u%20hu%CC%83%20rong%20bie%CC%82%CC%89n_moncanh.jpg?alt=media&amp;token=3ff3a3e5-f700-4c64-8f20-34e4405516c3" TargetMode="External"/><Relationship Id="rId20" Type="http://schemas.openxmlformats.org/officeDocument/2006/relationships/hyperlink" Target="https://firebasestorage.googleapis.com/v0/b/dieuthien-production.appspot.com/o/monlau%2FLa%CC%82%CC%89u%20Tha%CC%81i_monlau.jpg?alt=media&amp;token=04fe5c75-aaec-4c57-9504-085f7618e640" TargetMode="External"/><Relationship Id="rId22" Type="http://schemas.openxmlformats.org/officeDocument/2006/relationships/hyperlink" Target="https://firebasestorage.googleapis.com/v0/b/dieuthien-production.appspot.com/o/monlau%2FLa%CC%82%CC%89u%20chao_monlau(1).jpg?alt=media&amp;token=eca3ce0d-c42b-4927-a669-a7ca9f84cd03" TargetMode="External"/><Relationship Id="rId21" Type="http://schemas.openxmlformats.org/officeDocument/2006/relationships/hyperlink" Target="https://firebasestorage.googleapis.com/v0/b/dieuthien-production.appspot.com/o/monlau%2FLa%CC%82%CC%89u%20sa%20te%CC%82%CC%81%20Die%CC%A3%CC%82u%20Thie%CC%A3%CC%82n_monlau.jpg?alt=media&amp;token=d4903c65-c5ad-435b-8d62-3a3f02331e1a" TargetMode="External"/><Relationship Id="rId24" Type="http://schemas.openxmlformats.org/officeDocument/2006/relationships/hyperlink" Target="https://firebasestorage.googleapis.com/v0/b/dieuthien-production.appspot.com/o/monlau%2FLa%CC%82%CC%89u%20uye%CC%82n%20u%CC%9Bo%CC%9Bng_monlau.jpg?alt=media&amp;token=11819106-1900-4f9f-95eb-00406bc6f65d" TargetMode="External"/><Relationship Id="rId23" Type="http://schemas.openxmlformats.org/officeDocument/2006/relationships/hyperlink" Target="https://firebasestorage.googleapis.com/v0/b/dieuthien-production.appspot.com/o/monlau%2Fla%CC%82%CC%89u%20kim%20chi-monlau.jpg?alt=media&amp;token=f8045917-53be-4d54-8783-9471cc306036" TargetMode="External"/><Relationship Id="rId26" Type="http://schemas.openxmlformats.org/officeDocument/2006/relationships/hyperlink" Target="https://firebasestorage.googleapis.com/v0/b/dieuthien-production.appspot.com/o/monchinh%2FCo%CC%9Bm%20chie%CC%82n%20tho%CC%9Bm%20kie%CC%82%CC%89u%20Tha%CC%81i_monchinh.jpg?alt=media&amp;token=6215990f-7a2b-4cdf-a2a3-60c87c6f0f1a" TargetMode="External"/><Relationship Id="rId25" Type="http://schemas.openxmlformats.org/officeDocument/2006/relationships/hyperlink" Target="https://firebasestorage.googleapis.com/v0/b/dieuthien-production.appspot.com/o/monchinh%2FCo%CC%9Bm%20chie%CC%82n%20rong%20bie%CC%82%CC%89n_monchinh.jpg?alt=media&amp;token=5df048ec-8ec7-4a03-912b-15bd37cde101" TargetMode="External"/><Relationship Id="rId28" Type="http://schemas.openxmlformats.org/officeDocument/2006/relationships/hyperlink" Target="https://firebasestorage.googleapis.com/v0/b/dieuthien-production.appspot.com/o/monchinh%2FCo%CC%9Bm%20tro%CC%A3%CC%82n%20Ha%CC%80n%20Quo%CC%82%CC%81c_monchinh.jpg?alt=media&amp;token=37e45fe4-94e0-48e9-a3c8-28a441007484" TargetMode="External"/><Relationship Id="rId27" Type="http://schemas.openxmlformats.org/officeDocument/2006/relationships/hyperlink" Target="https://firebasestorage.googleapis.com/v0/b/dieuthien-production.appspot.com/o/monchinh%2FCo%CC%9Bm%20chie%CC%82n%20du%CC%9Bo%CC%9Bng%20cha%CC%82u_monchinh.jpg?alt=media&amp;token=e4003164-d386-4f50-b8ab-47f3b9f24699" TargetMode="External"/><Relationship Id="rId29" Type="http://schemas.openxmlformats.org/officeDocument/2006/relationships/hyperlink" Target="https://firebasestorage.googleapis.com/v0/b/dieuthien-production.appspot.com/o/monchinh%2FCo%CC%9Bm%20na%CC%82%CC%81m%20lu%CC%81c%20la%CC%86%CC%81c_comphan.jpg?alt=media&amp;token=336c0854-6398-46f5-bda4-68b4d7b9f264" TargetMode="External"/><Relationship Id="rId51" Type="http://schemas.openxmlformats.org/officeDocument/2006/relationships/hyperlink" Target="https://firebasestorage.googleapis.com/v0/b/dieuthien-production.appspot.com/o/monman%2F%C4%90a%CC%A3%CC%82u%20hu%CC%83%20xo%CC%82%CC%81c%20sa%20te%CC%82%CC%81_monman.jpg?alt=media&amp;token=65951195-23c9-48f6-b738-618a4cbaf70a" TargetMode="External"/><Relationship Id="rId50" Type="http://schemas.openxmlformats.org/officeDocument/2006/relationships/hyperlink" Target="https://firebasestorage.googleapis.com/v0/b/dieuthien-production.appspot.com/o/monman%2F%C4%90a%CC%A3%CC%82u%20hu%CC%83%20chu%CC%9Bng%20tu%CC%9Bo%CC%9Bng_monman.jpg?alt=media&amp;token=75a7c087-59c9-4ee6-a01e-8f6f4f85a9da" TargetMode="External"/><Relationship Id="rId53" Type="http://schemas.openxmlformats.org/officeDocument/2006/relationships/hyperlink" Target="https://firebasestorage.googleapis.com/v0/b/dieuthien-production.appspot.com/o/monman%2FCha%CC%82n%20na%CC%82%CC%81m%20kho%20gu%CC%9B%CC%80ng_monman3871.JPG?alt=media&amp;token=0a3650e7-4c60-43ce-a4f4-5ea5326743f0" TargetMode="External"/><Relationship Id="rId52" Type="http://schemas.openxmlformats.org/officeDocument/2006/relationships/hyperlink" Target="https://firebasestorage.googleapis.com/v0/b/dieuthien-production.appspot.com/o/monman%2FNa%CC%82%CC%81m%20ro%CC%9Bm%20kho%20tie%CC%82u_monman.jpg?alt=media&amp;token=e4de3db4-c10b-4ba6-b15b-b73c0eb94761" TargetMode="External"/><Relationship Id="rId11" Type="http://schemas.openxmlformats.org/officeDocument/2006/relationships/hyperlink" Target="https://res.cloudinary.com/dix539uvo/image/upload/v1775977936/salad-rau_vyjipw.jpg" TargetMode="External"/><Relationship Id="rId55" Type="http://schemas.openxmlformats.org/officeDocument/2006/relationships/hyperlink" Target="https://firebasestorage.googleapis.com/v0/b/dieuthien-production.appspot.com/o/trangmieng%2FChe%CC%80%20ha%CC%A3t%20sen%20%C4%91o%CC%82ng%20tru%CC%80ng%20ha%CC%A3%20tha%CC%89o_trangmieng.jpg?alt=media&amp;token=e55222b8-7b14-41d1-9d32-69b53b8ce267" TargetMode="External"/><Relationship Id="rId10" Type="http://schemas.openxmlformats.org/officeDocument/2006/relationships/hyperlink" Target="https://firebasestorage.googleapis.com/v0/b/dieuthien-production.appspot.com/o/khaivi%2FGo%CC%89i%20rong%20su%CC%A3n_khaivi.jpg?alt=media&amp;token=5b7e2fcb-8602-40ec-85c0-22c4942a48ef" TargetMode="External"/><Relationship Id="rId54" Type="http://schemas.openxmlformats.org/officeDocument/2006/relationships/hyperlink" Target="https://firebasestorage.googleapis.com/v0/b/dieuthien-production.appspot.com/o/trangmieng%2FChe%CC%80%20tuye%CC%82%CC%81t%20ye%CC%82%CC%81n%20du%CC%9Bo%CC%9B%CC%83ng%20nhan_trangmieng.jpg?alt=media&amp;token=e63ccd1d-751b-452b-9398-076fbe08a19b" TargetMode="External"/><Relationship Id="rId13" Type="http://schemas.openxmlformats.org/officeDocument/2006/relationships/hyperlink" Target="https://firebasestorage.googleapis.com/v0/b/dieuthien-production.appspot.com/o/moncuon%2Fcha%CC%89%20gio%CC%80_moncuon.jpg?alt=media&amp;token=a75f9867-69e2-437b-a14d-74b3f08f7161" TargetMode="External"/><Relationship Id="rId57" Type="http://schemas.openxmlformats.org/officeDocument/2006/relationships/hyperlink" Target="https://res.cloudinary.com/dix539uvo/image/upload/v1780151911/IMG_3983_mhs5br.jpg" TargetMode="External"/><Relationship Id="rId12" Type="http://schemas.openxmlformats.org/officeDocument/2006/relationships/hyperlink" Target="https://firebasestorage.googleapis.com/v0/b/dieuthien-production.appspot.com/o/khaivi%2FSalad%20rong%20bie%CC%82%CC%89n%20Nha%CC%A3%CC%82t_khaivi.jpg?alt=media&amp;token=1228fe8a-ff61-4009-968d-e5a09d34ca98" TargetMode="External"/><Relationship Id="rId56" Type="http://schemas.openxmlformats.org/officeDocument/2006/relationships/hyperlink" Target="https://firebasestorage.googleapis.com/v0/b/dieuthien-production.appspot.com/o/trangmieng%2FSu%CC%9B%CC%83a%20chua%20da%CC%82u%20ta%CC%86%CC%80m_trangmieng.JPG?alt=media&amp;token=b1ed9b2a-09df-46e7-80e1-d43ac675c35d" TargetMode="External"/><Relationship Id="rId15" Type="http://schemas.openxmlformats.org/officeDocument/2006/relationships/hyperlink" Target="https://firebasestorage.googleapis.com/v0/b/dieuthien-production.appspot.com/o/moncuon%2FBi%CC%80%20cuo%CC%82%CC%81n_moncuon.jpg?alt=media&amp;token=eb987c96-df54-461d-a485-5125061ea01f" TargetMode="External"/><Relationship Id="rId14" Type="http://schemas.openxmlformats.org/officeDocument/2006/relationships/hyperlink" Target="https://firebasestorage.googleapis.com/v0/b/dieuthien-production.appspot.com/o/moncuon%2FGo%CC%89i%20cuo%CC%82%CC%81n_moncuon.jpg?alt=media&amp;token=07605767-b35d-4d6e-99b0-62f8fb4edd53" TargetMode="External"/><Relationship Id="rId58" Type="http://schemas.openxmlformats.org/officeDocument/2006/relationships/drawing" Target="../drawings/drawing1.xml"/><Relationship Id="rId17" Type="http://schemas.openxmlformats.org/officeDocument/2006/relationships/hyperlink" Target="https://firebasestorage.googleapis.com/v0/b/dieuthien-production.appspot.com/o/moncuon%2FBa%CC%81nh%20xe%CC%80o_moncuon.jpg?alt=media&amp;token=7425fff4-9c1c-4105-95c2-379f5bce4f53" TargetMode="External"/><Relationship Id="rId16" Type="http://schemas.openxmlformats.org/officeDocument/2006/relationships/hyperlink" Target="https://firebasestorage.googleapis.com/v0/b/dieuthien-production.appspot.com/o/moncuon%2FMe%CC%A3t%20cuo%CC%82%CC%81n_moncuon.jpg?alt=media&amp;token=5f2bbf4c-bc70-4803-b68e-776a513ffdd6" TargetMode="External"/><Relationship Id="rId19" Type="http://schemas.openxmlformats.org/officeDocument/2006/relationships/hyperlink" Target="https://firebasestorage.googleapis.com/v0/b/dieuthien-production.appspot.com/o/monlau%2FLa%CC%82%CC%89u%20na%CC%82%CC%81m%20ha%CC%82%CC%80m%20tie%CC%82u%20xanh_monlau(1).jpg?alt=media&amp;token=13d58f72-87f2-4df3-8f81-f27674d48ad8" TargetMode="External"/><Relationship Id="rId18" Type="http://schemas.openxmlformats.org/officeDocument/2006/relationships/hyperlink" Target="https://firebasestorage.googleapis.com/v0/b/dieuthien-production.appspot.com/o/moncuon%2FNa%CC%82%CC%81m%20nu%CC%9Bo%CC%9B%CC%81ng%20la%CC%81%20lo%CC%82%CC%81t_moncuon.jpg?alt=media&amp;token=ca047dfa-9e00-4c09-8c95-7577d2a1cbc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irebasestorage.googleapis.com/v0/b/dieuthien-production.appspot.com/o/nuoc_trasangtao%2FTra%CC%80%20tha%CC%89o%20mo%CC%A3%CC%82c_trasangtao.JPG?alt=media&amp;token=5c3c14e0-f95d-4fe6-9512-dd21a30073aa" TargetMode="External"/><Relationship Id="rId2" Type="http://schemas.openxmlformats.org/officeDocument/2006/relationships/hyperlink" Target="https://firebasestorage.googleapis.com/v0/b/dieuthien-production.appspot.com/o/nuoc_trasangtao%2FTra%CC%80%20%C4%91a%CC%80o%20cam%20sa%CC%89_trasangtao.JPG?alt=media&amp;token=304c914f-9aaf-4be4-b833-40e5a5ec5bd1" TargetMode="External"/><Relationship Id="rId3" Type="http://schemas.openxmlformats.org/officeDocument/2006/relationships/hyperlink" Target="https://firebasestorage.googleapis.com/v0/b/dieuthien-production.appspot.com/o/nuoc_trasangtao%2FTra%CC%80%20la%CC%80i%20le%CC%A3%CC%82%20chi_trasangtao.JPG?alt=media&amp;token=7e11fc08-31b8-4190-a6d0-d4b30f58a687" TargetMode="External"/><Relationship Id="rId4" Type="http://schemas.openxmlformats.org/officeDocument/2006/relationships/hyperlink" Target="https://firebasestorage.googleapis.com/v0/b/dieuthien-production.appspot.com/o/nuoc_trasangtao%2FTra%CC%80%20o%CC%82%CC%89i%20ho%CC%82%CC%80ng_trasangtao.JPG?alt=media&amp;token=3333eb63-9ab5-43dc-8fae-8fa27f4ce823" TargetMode="External"/><Relationship Id="rId9" Type="http://schemas.openxmlformats.org/officeDocument/2006/relationships/hyperlink" Target="https://firebasestorage.googleapis.com/v0/b/dieuthien-production.appspot.com/o/nuoc_nuocep%2Fnuoc-ep-cam-tuoi-thom-ngon-tai-nha.jpg?alt=media&amp;token=67b7bf76-20fa-4a61-942b-8597afbeb776" TargetMode="External"/><Relationship Id="rId5" Type="http://schemas.openxmlformats.org/officeDocument/2006/relationships/hyperlink" Target="https://firebasestorage.googleapis.com/v0/b/dieuthien-production.appspot.com/o/nuoc_trasangtao%2FTra%CC%80%20gu%CC%9B%CC%80ng%20ma%CC%A3%CC%82t%20ong_trasangtao.JPG?alt=media&amp;token=0390f4aa-02a4-4d1a-9cc0-70b2f648bb41" TargetMode="External"/><Relationship Id="rId6" Type="http://schemas.openxmlformats.org/officeDocument/2006/relationships/hyperlink" Target="https://firebasestorage.googleapis.com/v0/b/dieuthien-production.appspot.com/o/nuoc_trasangtao%2FTra%CC%80%20ta%CC%86%CC%81c%20xi%CC%81%20muo%CC%A3%CC%82i_trasangtao.JPG?alt=media&amp;token=08ed6df7-0383-4921-9140-b0cda52c14f5" TargetMode="External"/><Relationship Id="rId7" Type="http://schemas.openxmlformats.org/officeDocument/2006/relationships/hyperlink" Target="https://firebasestorage.googleapis.com/v0/b/dieuthien-production.appspot.com/o/nuoc_trasangtao%2FTra%CC%80%20la%CC%80i%20ha%CC%A3t%20%C4%91a%CC%81c_trasangtao.JPG?alt=media&amp;token=9307f7d8-e258-4105-be6e-ff60a7174fb1" TargetMode="External"/><Relationship Id="rId8" Type="http://schemas.openxmlformats.org/officeDocument/2006/relationships/hyperlink" Target="https://firebasestorage.googleapis.com/v0/b/dieuthien-production.appspot.com/o/nuoc_nuocep%2Fthomep_nuocep.jpg?alt=media&amp;token=6de3e059-83e3-40f2-9290-f74289212e99" TargetMode="External"/><Relationship Id="rId20" Type="http://schemas.openxmlformats.org/officeDocument/2006/relationships/drawing" Target="../drawings/drawing2.xml"/><Relationship Id="rId11" Type="http://schemas.openxmlformats.org/officeDocument/2006/relationships/hyperlink" Target="https://firebasestorage.googleapis.com/v0/b/dieuthien-production.appspot.com/o/nuoc_nuocep%2Fchanhday_nuocep.jpg?alt=media&amp;token=39578f10-f292-45e2-9ea1-9b9a60a9e554" TargetMode="External"/><Relationship Id="rId10" Type="http://schemas.openxmlformats.org/officeDocument/2006/relationships/hyperlink" Target="https://firebasestorage.googleapis.com/v0/b/dieuthien-production.appspot.com/o/nuoc_nuocep%2Fduahau_nuocep%202.jpg?alt=media&amp;token=366c2c11-53dd-4b3c-a7a0-5fd9f4ece395" TargetMode="External"/><Relationship Id="rId13" Type="http://schemas.openxmlformats.org/officeDocument/2006/relationships/hyperlink" Target="https://firebasestorage.googleapis.com/v0/b/dieuthien-production.appspot.com/o/nuoc_nuocep%2FIMG_5212.jpeg?alt=media&amp;token=040bbd7b-6c31-4397-add7-292d127bbcce" TargetMode="External"/><Relationship Id="rId12" Type="http://schemas.openxmlformats.org/officeDocument/2006/relationships/hyperlink" Target="https://firebasestorage.googleapis.com/v0/b/dieuthien-production.appspot.com/o/nuoc_nuocep%2Fchanhday_nuocep.jpg?alt=media&amp;token=39578f10-f292-45e2-9ea1-9b9a60a9e554" TargetMode="External"/><Relationship Id="rId15" Type="http://schemas.openxmlformats.org/officeDocument/2006/relationships/hyperlink" Target="https://firebasestorage.googleapis.com/v0/b/dieuthien-production.appspot.com/o/nuoc_soda%2FSoda%20Chanh%20da%CC%82y_soda.jpg?alt=media&amp;token=6d80ab54-7a51-4f08-be6f-884605b1b178" TargetMode="External"/><Relationship Id="rId14" Type="http://schemas.openxmlformats.org/officeDocument/2006/relationships/hyperlink" Target="https://firebasestorage.googleapis.com/v0/b/dieuthien-production.appspot.com/o/nuoc_soda%2FSoda%20Bie%CC%82%CC%89n%20xanh_soda.jpg?alt=media&amp;token=cfa0b542-efbd-459d-8bc4-1c6c43447b2f" TargetMode="External"/><Relationship Id="rId17" Type="http://schemas.openxmlformats.org/officeDocument/2006/relationships/hyperlink" Target="https://firebasestorage.googleapis.com/v0/b/dieuthien-production.appspot.com/o/nuoc_soda%2FSoda%20Vie%CC%A3%CC%82t%20qua%CC%82%CC%81t_Soda.jpg?alt=media&amp;token=8e6507ad-71a2-42fb-92a6-ab76677c9f5e" TargetMode="External"/><Relationship Id="rId16" Type="http://schemas.openxmlformats.org/officeDocument/2006/relationships/hyperlink" Target="https://firebasestorage.googleapis.com/v0/b/dieuthien-production.appspot.com/o/nuoc_soda%2FSoda%20Chanh%20tu%CC%9Bo%CC%9Bi_soda.jpg?alt=media&amp;token=df5eccd2-5139-4157-90ac-ebc1f669cdff" TargetMode="External"/><Relationship Id="rId19" Type="http://schemas.openxmlformats.org/officeDocument/2006/relationships/hyperlink" Target="https://firebasestorage.googleapis.com/v0/b/dieuthien-production.appspot.com/o/nuoc_trathai%2FTra%CC%80%20Tha%CC%81i%20xanh%20chanh%20ma%CC%A3%CC%82t%20ong_trathai.JPG?alt=media&amp;token=1a479f2b-2d4d-4076-a70f-45e8bdc00714" TargetMode="External"/><Relationship Id="rId18" Type="http://schemas.openxmlformats.org/officeDocument/2006/relationships/hyperlink" Target="https://firebasestorage.googleapis.com/v0/b/dieuthien-production.appspot.com/o/nuoc_trathai%2FTra%CC%80%20su%CC%9B%CC%83a%20Tha%CC%81i%20xanh_trathai.JPG?alt=media&amp;token=f3e3584a-9151-4d09-99e4-bf7c24295e7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60.5"/>
    <col customWidth="1" hidden="1" min="3" max="3" width="10.25"/>
    <col customWidth="1" hidden="1" min="4" max="4" width="45.13"/>
    <col customWidth="1" hidden="1" min="5" max="5" width="21.0"/>
    <col customWidth="1" hidden="1" min="6" max="6" width="51.63"/>
    <col customWidth="1" hidden="1" min="7" max="7" width="21.0"/>
    <col customWidth="1" hidden="1" min="8" max="8" width="32.88"/>
    <col customWidth="1" min="9" max="9" width="71.25"/>
    <col customWidth="1" min="10" max="12" width="15.13"/>
  </cols>
  <sheetData>
    <row r="1" ht="36.75" customHeight="1">
      <c r="A1" s="1" t="s">
        <v>0</v>
      </c>
      <c r="B1" s="2" t="s">
        <v>1</v>
      </c>
      <c r="C1" s="3" t="s">
        <v>2</v>
      </c>
      <c r="D1" s="4" t="s">
        <v>3</v>
      </c>
      <c r="E1" s="4" t="s">
        <v>4</v>
      </c>
      <c r="F1" s="4" t="s">
        <v>5</v>
      </c>
      <c r="G1" s="2" t="s">
        <v>6</v>
      </c>
      <c r="H1" s="2" t="s">
        <v>7</v>
      </c>
      <c r="I1" s="2" t="s">
        <v>8</v>
      </c>
      <c r="J1" s="2" t="s">
        <v>9</v>
      </c>
      <c r="K1" s="2" t="s">
        <v>10</v>
      </c>
      <c r="L1" s="2"/>
    </row>
    <row r="2" ht="36.75" customHeight="1">
      <c r="A2" s="5" t="s">
        <v>11</v>
      </c>
      <c r="B2" s="6" t="s">
        <v>12</v>
      </c>
      <c r="C2" s="7">
        <v>55000.0</v>
      </c>
      <c r="D2" s="8" t="s">
        <v>13</v>
      </c>
      <c r="E2" s="8" t="s">
        <v>14</v>
      </c>
      <c r="F2" s="5" t="str">
        <f>IFERROR(__xludf.DUMMYFUNCTION("IF(D2&lt;&gt;"""", GOOGLETRANSLATE(D2, ""vi"", ""en""), """")
"),"Ramen noodles, broth")</f>
        <v>Ramen noodles, broth</v>
      </c>
      <c r="G2" s="5" t="str">
        <f>IFERROR(__xludf.DUMMYFUNCTION("GOOGLETRANSLATE(E2,""en"",""zh"")"),"素食拉面（干拌/汤面）")</f>
        <v>素食拉面（干拌/汤面）</v>
      </c>
      <c r="H2" s="5" t="str">
        <f>IFERROR(__xludf.DUMMYFUNCTION("IF(D2&lt;&gt;"""", GOOGLETRANSLATE(F2, ""en"", ""zh""), """")
"),"拉面，汤")</f>
        <v>拉面，汤</v>
      </c>
      <c r="I2" s="9" t="s">
        <v>15</v>
      </c>
      <c r="J2" s="10" t="b">
        <v>0</v>
      </c>
      <c r="K2" s="10" t="b">
        <v>0</v>
      </c>
      <c r="L2" s="11" t="str">
        <f t="shared" ref="L2:L58" si="1">image(I2,1)</f>
        <v/>
      </c>
    </row>
    <row r="3" ht="36.75" customHeight="1">
      <c r="A3" s="5" t="s">
        <v>11</v>
      </c>
      <c r="B3" s="6" t="s">
        <v>16</v>
      </c>
      <c r="C3" s="7">
        <v>55000.0</v>
      </c>
      <c r="D3" s="8" t="s">
        <v>17</v>
      </c>
      <c r="E3" s="8" t="s">
        <v>18</v>
      </c>
      <c r="F3" s="5" t="str">
        <f>IFERROR(__xludf.DUMMYFUNCTION("IF(D3&lt;&gt;"""", GOOGLETRANSLATE(D3, ""vi"", ""en""), """")
"),"mushrooms, rice crackers, spices")</f>
        <v>mushrooms, rice crackers, spices</v>
      </c>
      <c r="G3" s="5" t="str">
        <f>IFERROR(__xludf.DUMMYFUNCTION("GOOGLETRANSLATE(E3,""en"",""zh"")"),"香煎蘑菇配芝麻米饼")</f>
        <v>香煎蘑菇配芝麻米饼</v>
      </c>
      <c r="H3" s="5" t="str">
        <f>IFERROR(__xludf.DUMMYFUNCTION("IF(D3&lt;&gt;"""", GOOGLETRANSLATE(F3, ""en"", ""zh""), """")
"),"蘑菇、米饼、香料")</f>
        <v>蘑菇、米饼、香料</v>
      </c>
      <c r="I3" s="9" t="s">
        <v>19</v>
      </c>
      <c r="J3" s="10" t="b">
        <v>0</v>
      </c>
      <c r="K3" s="10" t="b">
        <v>0</v>
      </c>
      <c r="L3" s="11" t="str">
        <f t="shared" si="1"/>
        <v/>
      </c>
    </row>
    <row r="4" ht="36.75" customHeight="1">
      <c r="A4" s="5" t="s">
        <v>11</v>
      </c>
      <c r="B4" s="6" t="s">
        <v>20</v>
      </c>
      <c r="C4" s="7">
        <v>55000.0</v>
      </c>
      <c r="D4" s="8" t="s">
        <v>21</v>
      </c>
      <c r="E4" s="8" t="s">
        <v>22</v>
      </c>
      <c r="F4" s="5" t="str">
        <f>IFERROR(__xludf.DUMMYFUNCTION("IF(D4&lt;&gt;"""", GOOGLETRANSLATE(D4, ""vi"", ""en""), """")
"),"Soft tofu, vegetarian shredded pork, seaweed, and fried shallots served with mayonnaise and chili sauce.")</f>
        <v>Soft tofu, vegetarian shredded pork, seaweed, and fried shallots served with mayonnaise and chili sauce.</v>
      </c>
      <c r="G4" s="5" t="str">
        <f>IFERROR(__xludf.DUMMYFUNCTION("GOOGLETRANSLATE(E4,""en"",""zh"")"),"肉松炒嫩豆腐")</f>
        <v>肉松炒嫩豆腐</v>
      </c>
      <c r="H4" s="5" t="str">
        <f>IFERROR(__xludf.DUMMYFUNCTION("IF(D4&lt;&gt;"""", GOOGLETRANSLATE(F4, ""en"", ""zh""), """")
"),"嫩豆腐、素肉丝、海带、炸红葱头，配蛋黄酱和辣椒酱。")</f>
        <v>嫩豆腐、素肉丝、海带、炸红葱头，配蛋黄酱和辣椒酱。</v>
      </c>
      <c r="I4" s="9" t="s">
        <v>23</v>
      </c>
      <c r="J4" s="10" t="b">
        <v>1</v>
      </c>
      <c r="K4" s="10" t="b">
        <v>0</v>
      </c>
      <c r="L4" s="11" t="str">
        <f t="shared" si="1"/>
        <v/>
      </c>
    </row>
    <row r="5" ht="36.75" customHeight="1">
      <c r="A5" s="5" t="s">
        <v>11</v>
      </c>
      <c r="B5" s="6" t="s">
        <v>24</v>
      </c>
      <c r="C5" s="7">
        <v>55000.0</v>
      </c>
      <c r="D5" s="8" t="s">
        <v>25</v>
      </c>
      <c r="E5" s="8" t="s">
        <v>26</v>
      </c>
      <c r="F5" s="5" t="str">
        <f>IFERROR(__xludf.DUMMYFUNCTION("IF(D5&lt;&gt;"""", GOOGLETRANSLATE(D5, ""vi"", ""en""), """")
"),"Oyster mushrooms, Hong Kong-style salt, served with mayonnaise and chili sauce.")</f>
        <v>Oyster mushrooms, Hong Kong-style salt, served with mayonnaise and chili sauce.</v>
      </c>
      <c r="G5" s="5" t="str">
        <f>IFERROR(__xludf.DUMMYFUNCTION("GOOGLETRANSLATE(E5,""en"",""zh"")"),"香港咸蚝菇")</f>
        <v>香港咸蚝菇</v>
      </c>
      <c r="H5" s="5" t="str">
        <f>IFERROR(__xludf.DUMMYFUNCTION("IF(D5&lt;&gt;"""", GOOGLETRANSLATE(F5, ""en"", ""zh""), """")
"),"港式盐焗平菇，配蛋黄酱和辣椒酱。")</f>
        <v>港式盐焗平菇，配蛋黄酱和辣椒酱。</v>
      </c>
      <c r="I5" s="9" t="s">
        <v>27</v>
      </c>
      <c r="J5" s="10" t="b">
        <v>1</v>
      </c>
      <c r="K5" s="10" t="b">
        <v>0</v>
      </c>
      <c r="L5" s="11" t="str">
        <f t="shared" si="1"/>
        <v/>
      </c>
    </row>
    <row r="6" ht="36.75" customHeight="1">
      <c r="A6" s="5" t="s">
        <v>11</v>
      </c>
      <c r="B6" s="6" t="s">
        <v>28</v>
      </c>
      <c r="C6" s="7">
        <v>55000.0</v>
      </c>
      <c r="D6" s="8" t="s">
        <v>29</v>
      </c>
      <c r="E6" s="8" t="s">
        <v>30</v>
      </c>
      <c r="F6" s="5" t="str">
        <f>IFERROR(__xludf.DUMMYFUNCTION("IF(D6&lt;&gt;"""", GOOGLETRANSLATE(D6, ""vi"", ""en""), """")
"),"Soft tofu rolls wrapped in seaweed, deep-fried until crispy, with teriyaki sauce.")</f>
        <v>Soft tofu rolls wrapped in seaweed, deep-fried until crispy, with teriyaki sauce.</v>
      </c>
      <c r="G6" s="5" t="str">
        <f>IFERROR(__xludf.DUMMYFUNCTION("GOOGLETRANSLATE(E6,""en"",""zh"")"),"海苔卷嫩豆腐配照烧酱")</f>
        <v>海苔卷嫩豆腐配照烧酱</v>
      </c>
      <c r="H6" s="5" t="str">
        <f>IFERROR(__xludf.DUMMYFUNCTION("IF(D6&lt;&gt;"""", GOOGLETRANSLATE(F6, ""en"", ""zh""), """")
"),"嫩豆腐卷用海苔包裹，油炸至酥脆，淋上照烧酱。")</f>
        <v>嫩豆腐卷用海苔包裹，油炸至酥脆，淋上照烧酱。</v>
      </c>
      <c r="I6" s="9" t="s">
        <v>31</v>
      </c>
      <c r="J6" s="10" t="b">
        <v>1</v>
      </c>
      <c r="K6" s="10" t="b">
        <v>0</v>
      </c>
      <c r="L6" s="11" t="str">
        <f t="shared" si="1"/>
        <v/>
      </c>
    </row>
    <row r="7" ht="36.75" customHeight="1">
      <c r="A7" s="5" t="s">
        <v>11</v>
      </c>
      <c r="B7" s="6" t="s">
        <v>32</v>
      </c>
      <c r="C7" s="7">
        <v>59000.0</v>
      </c>
      <c r="D7" s="8" t="s">
        <v>33</v>
      </c>
      <c r="E7" s="8" t="s">
        <v>34</v>
      </c>
      <c r="F7" s="5" t="str">
        <f>IFERROR(__xludf.DUMMYFUNCTION("IF(D7&lt;&gt;"""", GOOGLETRANSLATE(D7, ""vi"", ""en""), """")
"),"Potatoes, vegetarian shredded meat, and seaweed served with mayonnaise and chili sauce.")</f>
        <v>Potatoes, vegetarian shredded meat, and seaweed served with mayonnaise and chili sauce.</v>
      </c>
      <c r="G7" s="5" t="str">
        <f>IFERROR(__xludf.DUMMYFUNCTION("GOOGLETRANSLATE(E7,""en"",""zh"")"),"海绵状的土豆")</f>
        <v>海绵状的土豆</v>
      </c>
      <c r="H7" s="5" t="str">
        <f>IFERROR(__xludf.DUMMYFUNCTION("IF(D7&lt;&gt;"""", GOOGLETRANSLATE(F7, ""en"", ""zh""), """")
"),"土豆、素肉丝和海苔，配蛋黄酱和辣椒酱。")</f>
        <v>土豆、素肉丝和海苔，配蛋黄酱和辣椒酱。</v>
      </c>
      <c r="I7" s="9" t="s">
        <v>35</v>
      </c>
      <c r="J7" s="10" t="b">
        <v>0</v>
      </c>
      <c r="K7" s="10" t="b">
        <v>0</v>
      </c>
      <c r="L7" s="11" t="str">
        <f t="shared" si="1"/>
        <v/>
      </c>
    </row>
    <row r="8" ht="36.75" customHeight="1">
      <c r="A8" s="5" t="s">
        <v>36</v>
      </c>
      <c r="B8" s="6" t="s">
        <v>37</v>
      </c>
      <c r="C8" s="7">
        <v>55000.0</v>
      </c>
      <c r="D8" s="8" t="s">
        <v>38</v>
      </c>
      <c r="E8" s="5" t="str">
        <f>IFERROR(__xludf.DUMMYFUNCTION("GOOGLETRANSLATE(B8,""vi"",""en"")"),"Shredded Oyster Mushroom Salad")</f>
        <v>Shredded Oyster Mushroom Salad</v>
      </c>
      <c r="F8" s="5" t="str">
        <f>IFERROR(__xludf.DUMMYFUNCTION("IF(D8&lt;&gt;"""", GOOGLETRANSLATE(D8, ""vi"", ""en""), """")
"),"oyster mushrooms, tofu skin, various herbs, and a sweet and sour salad dressing.")</f>
        <v>oyster mushrooms, tofu skin, various herbs, and a sweet and sour salad dressing.</v>
      </c>
      <c r="G8" s="5" t="str">
        <f>IFERROR(__xludf.DUMMYFUNCTION("GOOGLETRANSLATE(E8,""en"",""zh"")"),"手撕平菇沙拉")</f>
        <v>手撕平菇沙拉</v>
      </c>
      <c r="H8" s="5" t="str">
        <f>IFERROR(__xludf.DUMMYFUNCTION("IF(D8&lt;&gt;"""", GOOGLETRANSLATE(F8, ""en"", ""zh""), """")
"),"平菇、豆腐皮、各种香草，以及酸甜沙拉酱。")</f>
        <v>平菇、豆腐皮、各种香草，以及酸甜沙拉酱。</v>
      </c>
      <c r="I8" s="9" t="s">
        <v>39</v>
      </c>
      <c r="J8" s="10" t="b">
        <v>0</v>
      </c>
      <c r="K8" s="10" t="b">
        <v>0</v>
      </c>
      <c r="L8" s="11" t="str">
        <f t="shared" si="1"/>
        <v/>
      </c>
    </row>
    <row r="9" ht="36.75" customHeight="1">
      <c r="A9" s="5" t="s">
        <v>36</v>
      </c>
      <c r="B9" s="6" t="s">
        <v>40</v>
      </c>
      <c r="C9" s="12">
        <v>59000.0</v>
      </c>
      <c r="D9" s="8" t="s">
        <v>41</v>
      </c>
      <c r="E9" s="8" t="s">
        <v>42</v>
      </c>
      <c r="F9" s="5" t="str">
        <f>IFERROR(__xludf.DUMMYFUNCTION("IF(D9&lt;&gt;"""", GOOGLETRANSLATE(D9, ""vi"", ""en""), """")
"),"Mango, carrot, papaya, tomato, eggplant, long beans, kumquat, lime leaves, sawtooth coriander, Thai sauce")</f>
        <v>Mango, carrot, papaya, tomato, eggplant, long beans, kumquat, lime leaves, sawtooth coriander, Thai sauce</v>
      </c>
      <c r="G9" s="5" t="str">
        <f>IFERROR(__xludf.DUMMYFUNCTION("GOOGLETRANSLATE(E9,""en"",""zh"")"),"泰国青木瓜沙拉")</f>
        <v>泰国青木瓜沙拉</v>
      </c>
      <c r="H9" s="5" t="str">
        <f>IFERROR(__xludf.DUMMYFUNCTION("IF(D9&lt;&gt;"""", GOOGLETRANSLATE(F9, ""en"", ""zh""), """")
"),"芒果、胡萝卜、木瓜、番茄、茄子、长豆角、金桔、青柠叶、锯齿芫荽、泰式酱汁")</f>
        <v>芒果、胡萝卜、木瓜、番茄、茄子、长豆角、金桔、青柠叶、锯齿芫荽、泰式酱汁</v>
      </c>
      <c r="I9" s="9" t="s">
        <v>43</v>
      </c>
      <c r="J9" s="10" t="b">
        <v>0</v>
      </c>
      <c r="K9" s="10" t="b">
        <v>1</v>
      </c>
      <c r="L9" s="11" t="str">
        <f t="shared" si="1"/>
        <v/>
      </c>
    </row>
    <row r="10" ht="36.75" customHeight="1">
      <c r="A10" s="5" t="s">
        <v>36</v>
      </c>
      <c r="B10" s="6" t="s">
        <v>44</v>
      </c>
      <c r="C10" s="7">
        <v>55000.0</v>
      </c>
      <c r="D10" s="8" t="s">
        <v>45</v>
      </c>
      <c r="E10" s="8" t="s">
        <v>46</v>
      </c>
      <c r="F10" s="5" t="str">
        <f>IFERROR(__xludf.DUMMYFUNCTION("IF(D10&lt;&gt;"""", GOOGLETRANSLATE(D10, ""vi"", ""en""), """")
"),"Lotus root, cucumber, carrots, tofu skin, various herbs, and sweet and sour salad dressing.")</f>
        <v>Lotus root, cucumber, carrots, tofu skin, various herbs, and sweet and sour salad dressing.</v>
      </c>
      <c r="G10" s="5" t="str">
        <f>IFERROR(__xludf.DUMMYFUNCTION("GOOGLETRANSLATE(E10,""en"",""zh"")"),"莲花沙拉")</f>
        <v>莲花沙拉</v>
      </c>
      <c r="H10" s="5" t="str">
        <f>IFERROR(__xludf.DUMMYFUNCTION("IF(D10&lt;&gt;"""", GOOGLETRANSLATE(F10, ""en"", ""zh""), """")
"),"莲藕、黄瓜、胡萝卜、豆腐皮、各种香草和酸甜沙拉酱。")</f>
        <v>莲藕、黄瓜、胡萝卜、豆腐皮、各种香草和酸甜沙拉酱。</v>
      </c>
      <c r="I10" s="9" t="s">
        <v>47</v>
      </c>
      <c r="J10" s="10" t="b">
        <v>0</v>
      </c>
      <c r="K10" s="10" t="b">
        <v>0</v>
      </c>
      <c r="L10" s="11" t="str">
        <f t="shared" si="1"/>
        <v/>
      </c>
    </row>
    <row r="11" ht="36.75" customHeight="1">
      <c r="A11" s="5" t="s">
        <v>36</v>
      </c>
      <c r="B11" s="6" t="s">
        <v>48</v>
      </c>
      <c r="C11" s="7">
        <v>55000.0</v>
      </c>
      <c r="D11" s="8" t="s">
        <v>49</v>
      </c>
      <c r="E11" s="8" t="s">
        <v>50</v>
      </c>
      <c r="F11" s="5" t="str">
        <f>IFERROR(__xludf.DUMMYFUNCTION("IF(D11&lt;&gt;"""", GOOGLETRANSLATE(D11, ""vi"", ""en""), """")
"),"Seaweed, cucumber, carrots, various herbs, and a sweet and sour salad dressing.")</f>
        <v>Seaweed, cucumber, carrots, various herbs, and a sweet and sour salad dressing.</v>
      </c>
      <c r="G11" s="5" t="str">
        <f>IFERROR(__xludf.DUMMYFUNCTION("GOOGLETRANSLATE(E11,""en"",""zh"")"),"软骨藻沙拉")</f>
        <v>软骨藻沙拉</v>
      </c>
      <c r="H11" s="5" t="str">
        <f>IFERROR(__xludf.DUMMYFUNCTION("IF(D11&lt;&gt;"""", GOOGLETRANSLATE(F11, ""en"", ""zh""), """")
"),"海藻、黄瓜、胡萝卜、各种香草，以及酸甜沙拉酱。")</f>
        <v>海藻、黄瓜、胡萝卜、各种香草，以及酸甜沙拉酱。</v>
      </c>
      <c r="I11" s="9" t="s">
        <v>51</v>
      </c>
      <c r="J11" s="10" t="b">
        <v>0</v>
      </c>
      <c r="K11" s="10" t="b">
        <v>0</v>
      </c>
      <c r="L11" s="11" t="str">
        <f t="shared" si="1"/>
        <v/>
      </c>
    </row>
    <row r="12" ht="36.75" customHeight="1">
      <c r="A12" s="5" t="s">
        <v>36</v>
      </c>
      <c r="B12" s="6" t="s">
        <v>52</v>
      </c>
      <c r="C12" s="7">
        <v>59000.0</v>
      </c>
      <c r="D12" s="8" t="s">
        <v>53</v>
      </c>
      <c r="E12" s="8" t="s">
        <v>54</v>
      </c>
      <c r="F12" s="5" t="str">
        <f>IFERROR(__xludf.DUMMYFUNCTION("IF(D12&lt;&gt;"""", GOOGLETRANSLATE(D12, ""vi"", ""en""), """")
"),"lettuce, tomatoes, dragon fruit, pineapple, sweet corn, oranges, raisins, passion fruit sauce")</f>
        <v>lettuce, tomatoes, dragon fruit, pineapple, sweet corn, oranges, raisins, passion fruit sauce</v>
      </c>
      <c r="G12" s="5" t="str">
        <f>IFERROR(__xludf.DUMMYFUNCTION("GOOGLETRANSLATE(E12,""en"",""zh"")"),"热带水果沙拉")</f>
        <v>热带水果沙拉</v>
      </c>
      <c r="H12" s="5" t="str">
        <f>IFERROR(__xludf.DUMMYFUNCTION("IF(D12&lt;&gt;"""", GOOGLETRANSLATE(F12, ""en"", ""zh""), """")
"),"生菜、西红柿、火龙果、菠萝、甜玉米、橙子、葡萄干、百香果酱")</f>
        <v>生菜、西红柿、火龙果、菠萝、甜玉米、橙子、葡萄干、百香果酱</v>
      </c>
      <c r="I12" s="13" t="s">
        <v>55</v>
      </c>
      <c r="J12" s="10" t="b">
        <v>0</v>
      </c>
      <c r="K12" s="10" t="b">
        <v>0</v>
      </c>
      <c r="L12" s="11" t="str">
        <f t="shared" si="1"/>
        <v/>
      </c>
    </row>
    <row r="13" ht="36.75" customHeight="1">
      <c r="A13" s="5" t="s">
        <v>36</v>
      </c>
      <c r="B13" s="6" t="s">
        <v>56</v>
      </c>
      <c r="C13" s="7">
        <v>59000.0</v>
      </c>
      <c r="D13" s="8" t="s">
        <v>57</v>
      </c>
      <c r="E13" s="8" t="s">
        <v>58</v>
      </c>
      <c r="F13" s="5" t="str">
        <f>IFERROR(__xludf.DUMMYFUNCTION("IF(D13&lt;&gt;"""", GOOGLETRANSLATE(D13, ""vi"", ""en""), """")
"),"Japanese seaweed, bell peppers, lettuce, roasted sesame dressing")</f>
        <v>Japanese seaweed, bell peppers, lettuce, roasted sesame dressing</v>
      </c>
      <c r="G13" s="5" t="str">
        <f>IFERROR(__xludf.DUMMYFUNCTION("GOOGLETRANSLATE(E13,""en"",""zh"")"),"日式海藻沙拉")</f>
        <v>日式海藻沙拉</v>
      </c>
      <c r="H13" s="5" t="str">
        <f>IFERROR(__xludf.DUMMYFUNCTION("IF(D13&lt;&gt;"""", GOOGLETRANSLATE(F13, ""en"", ""zh""), """")
"),"日本海带、甜椒、生菜、烤芝麻酱")</f>
        <v>日本海带、甜椒、生菜、烤芝麻酱</v>
      </c>
      <c r="I13" s="9" t="s">
        <v>59</v>
      </c>
      <c r="J13" s="10" t="b">
        <v>0</v>
      </c>
      <c r="K13" s="10" t="b">
        <v>0</v>
      </c>
      <c r="L13" s="11" t="str">
        <f t="shared" si="1"/>
        <v/>
      </c>
    </row>
    <row r="14" ht="36.75" customHeight="1">
      <c r="A14" s="5" t="s">
        <v>60</v>
      </c>
      <c r="B14" s="6" t="s">
        <v>61</v>
      </c>
      <c r="C14" s="7">
        <v>50000.0</v>
      </c>
      <c r="D14" s="8" t="s">
        <v>62</v>
      </c>
      <c r="E14" s="8" t="s">
        <v>63</v>
      </c>
      <c r="F14" s="5" t="str">
        <f>IFERROR(__xludf.DUMMYFUNCTION("IF(D14&lt;&gt;"""", GOOGLETRANSLATE(D14, ""vi"", ""en""), """")
"),"Filling includes various types of potatoes, carrots, wood ear mushrooms, corn, and mung beans, served with sweet and sour fish sauce.")</f>
        <v>Filling includes various types of potatoes, carrots, wood ear mushrooms, corn, and mung beans, served with sweet and sour fish sauce.</v>
      </c>
      <c r="G14" s="5" t="str">
        <f>IFERROR(__xludf.DUMMYFUNCTION("GOOGLETRANSLATE(E14,""en"",""zh"")"),"春卷")</f>
        <v>春卷</v>
      </c>
      <c r="H14" s="5" t="str">
        <f>IFERROR(__xludf.DUMMYFUNCTION("IF(D14&lt;&gt;"""", GOOGLETRANSLATE(F14, ""en"", ""zh""), """")
"),"馅料包括各种土豆、胡萝卜、木耳、玉米和绿豆，佐以酸甜鱼露。")</f>
        <v>馅料包括各种土豆、胡萝卜、木耳、玉米和绿豆，佐以酸甜鱼露。</v>
      </c>
      <c r="I14" s="9" t="s">
        <v>64</v>
      </c>
      <c r="J14" s="10" t="b">
        <v>0</v>
      </c>
      <c r="K14" s="10" t="b">
        <v>0</v>
      </c>
      <c r="L14" s="11" t="str">
        <f t="shared" si="1"/>
        <v/>
      </c>
    </row>
    <row r="15" ht="36.75" customHeight="1">
      <c r="A15" s="5" t="s">
        <v>60</v>
      </c>
      <c r="B15" s="6" t="s">
        <v>65</v>
      </c>
      <c r="C15" s="7">
        <v>50000.0</v>
      </c>
      <c r="D15" s="8" t="s">
        <v>66</v>
      </c>
      <c r="E15" s="8" t="s">
        <v>67</v>
      </c>
      <c r="F15" s="5" t="str">
        <f>IFERROR(__xludf.DUMMYFUNCTION("IF(D15&lt;&gt;"""", GOOGLETRANSLATE(D15, ""vi"", ""en""), """")
"),"Fresh rice noodles, various herbs, stir-fried mixed mushrooms served with peanut sauce.")</f>
        <v>Fresh rice noodles, various herbs, stir-fried mixed mushrooms served with peanut sauce.</v>
      </c>
      <c r="G15" s="5" t="str">
        <f>IFERROR(__xludf.DUMMYFUNCTION("GOOGLETRANSLATE(E15,""en"",""zh"")"),"夏卷")</f>
        <v>夏卷</v>
      </c>
      <c r="H15" s="5" t="str">
        <f>IFERROR(__xludf.DUMMYFUNCTION("IF(D15&lt;&gt;"""", GOOGLETRANSLATE(F15, ""en"", ""zh""), """")
"),"新鲜米粉、各种香草、炒什锦蘑菇，佐以花生酱。")</f>
        <v>新鲜米粉、各种香草、炒什锦蘑菇，佐以花生酱。</v>
      </c>
      <c r="I15" s="9" t="s">
        <v>68</v>
      </c>
      <c r="J15" s="10" t="b">
        <v>1</v>
      </c>
      <c r="K15" s="10" t="b">
        <v>0</v>
      </c>
      <c r="L15" s="11" t="str">
        <f t="shared" si="1"/>
        <v/>
      </c>
    </row>
    <row r="16" ht="36.75" customHeight="1">
      <c r="A16" s="5" t="s">
        <v>60</v>
      </c>
      <c r="B16" s="5" t="s">
        <v>69</v>
      </c>
      <c r="C16" s="7">
        <v>50000.0</v>
      </c>
      <c r="D16" s="8" t="s">
        <v>70</v>
      </c>
      <c r="E16" s="8" t="s">
        <v>71</v>
      </c>
      <c r="F16" s="5" t="str">
        <f>IFERROR(__xludf.DUMMYFUNCTION("IF(D16&lt;&gt;"""", GOOGLETRANSLATE(D16, ""vi"", ""en""), """")
"),"Various types of sweet potato filling, roasted rice powder, vermicelli, various herbs, served with sweet and sour fish sauce.")</f>
        <v>Various types of sweet potato filling, roasted rice powder, vermicelli, various herbs, served with sweet and sour fish sauce.</v>
      </c>
      <c r="G16" s="5" t="str">
        <f>IFERROR(__xludf.DUMMYFUNCTION("GOOGLETRANSLATE(E16,""en"",""zh"")"),"水晶秋卷")</f>
        <v>水晶秋卷</v>
      </c>
      <c r="H16" s="5" t="str">
        <f>IFERROR(__xludf.DUMMYFUNCTION("IF(D16&lt;&gt;"""", GOOGLETRANSLATE(F16, ""en"", ""zh""), """")
"),"各种红薯馅料、烤米粉、粉丝、各种香草，佐以糖醋鱼露。")</f>
        <v>各种红薯馅料、烤米粉、粉丝、各种香草，佐以糖醋鱼露。</v>
      </c>
      <c r="I16" s="9" t="s">
        <v>72</v>
      </c>
      <c r="J16" s="10" t="b">
        <v>0</v>
      </c>
      <c r="K16" s="10" t="b">
        <v>0</v>
      </c>
      <c r="L16" s="11" t="str">
        <f t="shared" si="1"/>
        <v/>
      </c>
    </row>
    <row r="17" ht="36.75" customHeight="1">
      <c r="A17" s="5" t="s">
        <v>60</v>
      </c>
      <c r="B17" s="5" t="s">
        <v>73</v>
      </c>
      <c r="C17" s="7">
        <v>55000.0</v>
      </c>
      <c r="D17" s="8" t="s">
        <v>74</v>
      </c>
      <c r="E17" s="8" t="s">
        <v>75</v>
      </c>
      <c r="F17" s="5" t="str">
        <f>IFERROR(__xludf.DUMMYFUNCTION("IF(D17&lt;&gt;"""", GOOGLETRANSLATE(D17, ""vi"", ""en""), """")
"),"Rice paper rolls with fresh vermicelli, various raw vegetables, mushrooms in oyster sauce, and peanut sauce.")</f>
        <v>Rice paper rolls with fresh vermicelli, various raw vegetables, mushrooms in oyster sauce, and peanut sauce.</v>
      </c>
      <c r="G17" s="5" t="str">
        <f>IFERROR(__xludf.DUMMYFUNCTION("GOOGLETRANSLATE(E17,""en"",""zh"")"),"蔬菜卷饼")</f>
        <v>蔬菜卷饼</v>
      </c>
      <c r="H17" s="5" t="str">
        <f>IFERROR(__xludf.DUMMYFUNCTION("IF(D17&lt;&gt;"""", GOOGLETRANSLATE(F17, ""en"", ""zh""), """")
"),"米纸卷，内含新鲜粉丝、各种生蔬菜、蚝油蘑菇和花生酱。")</f>
        <v>米纸卷，内含新鲜粉丝、各种生蔬菜、蚝油蘑菇和花生酱。</v>
      </c>
      <c r="I17" s="9" t="s">
        <v>76</v>
      </c>
      <c r="J17" s="10" t="b">
        <v>0</v>
      </c>
      <c r="K17" s="10" t="b">
        <v>0</v>
      </c>
      <c r="L17" s="11" t="str">
        <f t="shared" si="1"/>
        <v/>
      </c>
    </row>
    <row r="18" ht="36.75" customHeight="1">
      <c r="A18" s="5" t="s">
        <v>60</v>
      </c>
      <c r="B18" s="6" t="s">
        <v>77</v>
      </c>
      <c r="C18" s="7">
        <v>59000.0</v>
      </c>
      <c r="D18" s="14" t="s">
        <v>78</v>
      </c>
      <c r="E18" s="8" t="s">
        <v>79</v>
      </c>
      <c r="F18" s="5" t="str">
        <f>IFERROR(__xludf.DUMMYFUNCTION("IF(D18&lt;&gt;"""", GOOGLETRANSLATE(D18, ""vi"", ""en""), """")
"),"The filling consists of bean sprouts, carrots, stir-fried mixed mushrooms, and mung beans, wrapped in rice paper with various fresh vegetables, and served with sweet and sour fish sauce.")</f>
        <v>The filling consists of bean sprouts, carrots, stir-fried mixed mushrooms, and mung beans, wrapped in rice paper with various fresh vegetables, and served with sweet and sour fish sauce.</v>
      </c>
      <c r="G18" s="5" t="str">
        <f>IFERROR(__xludf.DUMMYFUNCTION("GOOGLETRANSLATE(E18,""en"",""zh"")"),"越南煎饼")</f>
        <v>越南煎饼</v>
      </c>
      <c r="H18" s="5" t="str">
        <f>IFERROR(__xludf.DUMMYFUNCTION("IF(D18&lt;&gt;"""", GOOGLETRANSLATE(F18, ""en"", ""zh""), """")
"),"馅料包括豆芽、胡萝卜、炒什锦蘑菇和绿豆，用米纸包裹着各种新鲜蔬菜，佐以糖醋鱼露。")</f>
        <v>馅料包括豆芽、胡萝卜、炒什锦蘑菇和绿豆，用米纸包裹着各种新鲜蔬菜，佐以糖醋鱼露。</v>
      </c>
      <c r="I18" s="9" t="s">
        <v>80</v>
      </c>
      <c r="J18" s="10" t="b">
        <v>0</v>
      </c>
      <c r="K18" s="10" t="b">
        <v>0</v>
      </c>
      <c r="L18" s="11" t="str">
        <f t="shared" si="1"/>
        <v/>
      </c>
    </row>
    <row r="19" ht="36.75" customHeight="1">
      <c r="A19" s="5" t="s">
        <v>60</v>
      </c>
      <c r="B19" s="6" t="s">
        <v>81</v>
      </c>
      <c r="C19" s="7">
        <v>55000.0</v>
      </c>
      <c r="D19" s="8" t="s">
        <v>82</v>
      </c>
      <c r="E19" s="8" t="s">
        <v>83</v>
      </c>
      <c r="F19" s="5" t="str">
        <f>IFERROR(__xludf.DUMMYFUNCTION("IF(D19&lt;&gt;"""", GOOGLETRANSLATE(D19, ""vi"", ""en""), """")
"),"Grilled mixed stir-fried mushrooms wrapped in betel leaves, served with rice noodles, various fresh vegetables, and vegetarian dipping sauce.")</f>
        <v>Grilled mixed stir-fried mushrooms wrapped in betel leaves, served with rice noodles, various fresh vegetables, and vegetarian dipping sauce.</v>
      </c>
      <c r="G19" s="5" t="str">
        <f>IFERROR(__xludf.DUMMYFUNCTION("GOOGLETRANSLATE(E19,""en"",""zh"")"),"烤蘑菇卷入胡椒洛洛特")</f>
        <v>烤蘑菇卷入胡椒洛洛特</v>
      </c>
      <c r="H19" s="5" t="str">
        <f>IFERROR(__xludf.DUMMYFUNCTION("IF(D19&lt;&gt;"""", GOOGLETRANSLATE(F19, ""en"", ""zh""), """")
"),"烤什锦炒蘑菇，用槟榔叶包裹，配米粉、各种新鲜蔬菜和素菜蘸酱。")</f>
        <v>烤什锦炒蘑菇，用槟榔叶包裹，配米粉、各种新鲜蔬菜和素菜蘸酱。</v>
      </c>
      <c r="I19" s="9" t="s">
        <v>84</v>
      </c>
      <c r="J19" s="10" t="b">
        <v>0</v>
      </c>
      <c r="K19" s="10" t="b">
        <v>0</v>
      </c>
      <c r="L19" s="11" t="str">
        <f t="shared" si="1"/>
        <v/>
      </c>
    </row>
    <row r="20" ht="36.75" customHeight="1">
      <c r="A20" s="5" t="s">
        <v>85</v>
      </c>
      <c r="B20" s="6" t="s">
        <v>86</v>
      </c>
      <c r="C20" s="7">
        <v>150000.0</v>
      </c>
      <c r="D20" s="8" t="s">
        <v>87</v>
      </c>
      <c r="E20" s="8" t="s">
        <v>88</v>
      </c>
      <c r="F20" s="5" t="str">
        <f>IFERROR(__xludf.DUMMYFUNCTION("IF(D20&lt;&gt;"""", GOOGLETRANSLATE(D20, ""vi"", ""en""), """")
"),"Green peppercorn broth, spinach, Chinese cabbage, mustard greens, king oyster mushrooms, oyster mushrooms, enoki mushrooms, soft tofu, served with vegetarian fish sauce and fresh rice noodles.")</f>
        <v>Green peppercorn broth, spinach, Chinese cabbage, mustard greens, king oyster mushrooms, oyster mushrooms, enoki mushrooms, soft tofu, served with vegetarian fish sauce and fresh rice noodles.</v>
      </c>
      <c r="G20" s="5" t="str">
        <f>IFERROR(__xludf.DUMMYFUNCTION("GOOGLETRANSLATE(E20,""en"",""zh"")"),"青椒蘑菇火锅")</f>
        <v>青椒蘑菇火锅</v>
      </c>
      <c r="H20" s="5" t="str">
        <f>IFERROR(__xludf.DUMMYFUNCTION("IF(D20&lt;&gt;"""", GOOGLETRANSLATE(F20, ""en"", ""zh""), """")
"),"青花椒汤底，菠菜，大白菜，芥菜，杏鲍菇，平菇，金针菇，嫩豆腐，佐以素鱼露和新鲜米粉。")</f>
        <v>青花椒汤底，菠菜，大白菜，芥菜，杏鲍菇，平菇，金针菇，嫩豆腐，佐以素鱼露和新鲜米粉。</v>
      </c>
      <c r="I20" s="9" t="s">
        <v>89</v>
      </c>
      <c r="J20" s="10" t="b">
        <v>0</v>
      </c>
      <c r="K20" s="10" t="b">
        <v>0</v>
      </c>
      <c r="L20" s="11" t="str">
        <f t="shared" si="1"/>
        <v/>
      </c>
    </row>
    <row r="21" ht="36.75" customHeight="1">
      <c r="A21" s="5" t="s">
        <v>85</v>
      </c>
      <c r="B21" s="6" t="s">
        <v>90</v>
      </c>
      <c r="C21" s="7">
        <v>150000.0</v>
      </c>
      <c r="D21" s="8" t="s">
        <v>91</v>
      </c>
      <c r="E21" s="8" t="s">
        <v>92</v>
      </c>
      <c r="F21" s="5" t="str">
        <f>IFERROR(__xludf.DUMMYFUNCTION("IF(D21&lt;&gt;"""", GOOGLETRANSLATE(D21, ""vi"", ""en""), """")
"),"Thai hot pot broth, banana blossom, Chinese cabbage, water spinach, water celery, king oyster mushrooms, enoki mushrooms, oyster mushrooms, and soft tofu, served with vegetarian fish sauce and fresh rice noodles.")</f>
        <v>Thai hot pot broth, banana blossom, Chinese cabbage, water spinach, water celery, king oyster mushrooms, enoki mushrooms, oyster mushrooms, and soft tofu, served with vegetarian fish sauce and fresh rice noodles.</v>
      </c>
      <c r="G21" s="5" t="str">
        <f>IFERROR(__xludf.DUMMYFUNCTION("GOOGLETRANSLATE(E21,""en"",""zh"")"),"泰式火锅")</f>
        <v>泰式火锅</v>
      </c>
      <c r="H21" s="5" t="str">
        <f>IFERROR(__xludf.DUMMYFUNCTION("IF(D21&lt;&gt;"""", GOOGLETRANSLATE(F21, ""en"", ""zh""), """")
"),"泰式火锅汤底，香蕉花，大白菜，空心菜，水芹，杏鲍菇，金针菇，平菇，嫩豆腐，佐以素鱼露和新鲜米粉。")</f>
        <v>泰式火锅汤底，香蕉花，大白菜，空心菜，水芹，杏鲍菇，金针菇，平菇，嫩豆腐，佐以素鱼露和新鲜米粉。</v>
      </c>
      <c r="I21" s="9" t="s">
        <v>93</v>
      </c>
      <c r="J21" s="10" t="b">
        <v>0</v>
      </c>
      <c r="K21" s="10" t="b">
        <v>0</v>
      </c>
      <c r="L21" s="11" t="str">
        <f t="shared" si="1"/>
        <v/>
      </c>
    </row>
    <row r="22" ht="36.75" customHeight="1">
      <c r="A22" s="5" t="s">
        <v>85</v>
      </c>
      <c r="B22" s="6" t="s">
        <v>94</v>
      </c>
      <c r="C22" s="7">
        <v>150000.0</v>
      </c>
      <c r="D22" s="8" t="s">
        <v>95</v>
      </c>
      <c r="E22" s="8" t="s">
        <v>96</v>
      </c>
      <c r="F22" s="5" t="str">
        <f>IFERROR(__xludf.DUMMYFUNCTION("IF(D22&lt;&gt;"""", GOOGLETRANSLATE(D22, ""vi"", ""en""), """")
"),"Satay hot pot broth, spinach, Chinese cabbage, oyster mushrooms, king oyster mushrooms, black enoki mushrooms, tofu, and dried tofu skin, served with satay fish sauce and fresh rice noodles.")</f>
        <v>Satay hot pot broth, spinach, Chinese cabbage, oyster mushrooms, king oyster mushrooms, black enoki mushrooms, tofu, and dried tofu skin, served with satay fish sauce and fresh rice noodles.</v>
      </c>
      <c r="G22" s="5" t="str">
        <f>IFERROR(__xludf.DUMMYFUNCTION("GOOGLETRANSLATE(E22,""en"",""zh"")"),"「Dieu Thien」辣酱火锅")</f>
        <v>「Dieu Thien」辣酱火锅</v>
      </c>
      <c r="H22" s="5" t="str">
        <f>IFERROR(__xludf.DUMMYFUNCTION("IF(D22&lt;&gt;"""", GOOGLETRANSLATE(F22, ""en"", ""zh""), """")
"),"沙爹火锅汤底，菠菜，大白菜，平菇，杏鲍菇，黑金针菇，豆腐，豆腐皮，佐以沙爹鱼露和新鲜米粉。")</f>
        <v>沙爹火锅汤底，菠菜，大白菜，平菇，杏鲍菇，黑金针菇，豆腐，豆腐皮，佐以沙爹鱼露和新鲜米粉。</v>
      </c>
      <c r="I22" s="9" t="s">
        <v>97</v>
      </c>
      <c r="J22" s="15" t="b">
        <v>0</v>
      </c>
      <c r="K22" s="5" t="b">
        <v>1</v>
      </c>
      <c r="L22" s="11" t="str">
        <f t="shared" si="1"/>
        <v/>
      </c>
    </row>
    <row r="23" ht="36.75" customHeight="1">
      <c r="A23" s="5" t="s">
        <v>85</v>
      </c>
      <c r="B23" s="6" t="s">
        <v>98</v>
      </c>
      <c r="C23" s="7">
        <v>150000.0</v>
      </c>
      <c r="D23" s="8" t="s">
        <v>99</v>
      </c>
      <c r="E23" s="8" t="s">
        <v>100</v>
      </c>
      <c r="F23" s="5" t="str">
        <f>IFERROR(__xludf.DUMMYFUNCTION("IF(D23&lt;&gt;"""", GOOGLETRANSLATE(D23, ""vi"", ""en""), """")
"),"Fermented tofu broth, spinach, Chinese cabbage, mustard greens, king oyster mushrooms, oyster mushrooms, and tofu skin are served with vegetarian fermented tofu dipping sauce and fresh rice noodles.")</f>
        <v>Fermented tofu broth, spinach, Chinese cabbage, mustard greens, king oyster mushrooms, oyster mushrooms, and tofu skin are served with vegetarian fermented tofu dipping sauce and fresh rice noodles.</v>
      </c>
      <c r="G23" s="5" t="str">
        <f>IFERROR(__xludf.DUMMYFUNCTION("GOOGLETRANSLATE(E23,""en"",""zh"")"),"炸豆腐火锅")</f>
        <v>炸豆腐火锅</v>
      </c>
      <c r="H23" s="5" t="str">
        <f>IFERROR(__xludf.DUMMYFUNCTION("IF(D23&lt;&gt;"""", GOOGLETRANSLATE(F23, ""en"", ""zh""), """")
"),"发酵豆腐汤、菠菜、大白菜、芥菜、杏鲍菇、平菇和豆腐皮，配以素食发酵豆腐蘸酱和新鲜米粉。")</f>
        <v>发酵豆腐汤、菠菜、大白菜、芥菜、杏鲍菇、平菇和豆腐皮，配以素食发酵豆腐蘸酱和新鲜米粉。</v>
      </c>
      <c r="I23" s="9" t="s">
        <v>101</v>
      </c>
      <c r="J23" s="10" t="b">
        <v>0</v>
      </c>
      <c r="K23" s="10" t="b">
        <v>0</v>
      </c>
      <c r="L23" s="11" t="str">
        <f t="shared" si="1"/>
        <v/>
      </c>
    </row>
    <row r="24" ht="36.75" customHeight="1">
      <c r="A24" s="5" t="s">
        <v>85</v>
      </c>
      <c r="B24" s="6" t="s">
        <v>102</v>
      </c>
      <c r="C24" s="7">
        <v>150000.0</v>
      </c>
      <c r="D24" s="8" t="s">
        <v>103</v>
      </c>
      <c r="E24" s="8" t="s">
        <v>104</v>
      </c>
      <c r="F24" s="5" t="str">
        <f>IFERROR(__xludf.DUMMYFUNCTION("IF(D24&lt;&gt;"""", GOOGLETRANSLATE(D24, ""vi"", ""en""), """")
"),"Kimchi hot pot broth, purple cabbage, napa cabbage, and oyster mushrooms served with Korean noodles.")</f>
        <v>Kimchi hot pot broth, purple cabbage, napa cabbage, and oyster mushrooms served with Korean noodles.</v>
      </c>
      <c r="G24" s="5" t="str">
        <f>IFERROR(__xludf.DUMMYFUNCTION("GOOGLETRANSLATE(E24,""en"",""zh"")"),"韩式泡菜火锅")</f>
        <v>韩式泡菜火锅</v>
      </c>
      <c r="H24" s="5" t="str">
        <f>IFERROR(__xludf.DUMMYFUNCTION("IF(D24&lt;&gt;"""", GOOGLETRANSLATE(F24, ""en"", ""zh""), """")
"),"泡菜火锅汤底，配紫甘蓝、大白菜、平菇和韩式面条。")</f>
        <v>泡菜火锅汤底，配紫甘蓝、大白菜、平菇和韩式面条。</v>
      </c>
      <c r="I24" s="16" t="s">
        <v>105</v>
      </c>
      <c r="J24" s="10" t="b">
        <v>0</v>
      </c>
      <c r="K24" s="10" t="b">
        <v>0</v>
      </c>
      <c r="L24" s="11" t="str">
        <f t="shared" si="1"/>
        <v/>
      </c>
    </row>
    <row r="25" ht="36.75" customHeight="1">
      <c r="A25" s="5" t="s">
        <v>85</v>
      </c>
      <c r="B25" s="6" t="s">
        <v>106</v>
      </c>
      <c r="C25" s="7">
        <v>250000.0</v>
      </c>
      <c r="D25" s="8" t="s">
        <v>107</v>
      </c>
      <c r="E25" s="8" t="s">
        <v>108</v>
      </c>
      <c r="F25" s="5" t="str">
        <f>IFERROR(__xludf.DUMMYFUNCTION("IF(D25&lt;&gt;"""", GOOGLETRANSLATE(D25, ""vi"", ""en""), """")
"),"鸳鸯 hot pot broth, chili paste, vegetables, and Korean noodles.")</f>
        <v>鸳鸯 hot pot broth, chili paste, vegetables, and Korean noodles.</v>
      </c>
      <c r="G25" s="5" t="str">
        <f>IFERROR(__xludf.DUMMYFUNCTION("GOOGLETRANSLATE(E25,""en"",""zh"")"),"爱情鸟火锅")</f>
        <v>爱情鸟火锅</v>
      </c>
      <c r="H25" s="5" t="str">
        <f>IFERROR(__xludf.DUMMYFUNCTION("IF(D25&lt;&gt;"""", GOOGLETRANSLATE(F25, ""en"", ""zh""), """")
"),"火锅汤底、辣椒酱、蔬菜和韩国面条。")</f>
        <v>火锅汤底、辣椒酱、蔬菜和韩国面条。</v>
      </c>
      <c r="I25" s="9" t="s">
        <v>109</v>
      </c>
      <c r="J25" s="10" t="b">
        <v>0</v>
      </c>
      <c r="K25" s="10" t="b">
        <v>0</v>
      </c>
      <c r="L25" s="11" t="str">
        <f t="shared" si="1"/>
        <v/>
      </c>
    </row>
    <row r="26" ht="36.75" customHeight="1">
      <c r="A26" s="5" t="s">
        <v>110</v>
      </c>
      <c r="B26" s="6" t="s">
        <v>111</v>
      </c>
      <c r="C26" s="7">
        <v>55000.0</v>
      </c>
      <c r="D26" s="8" t="s">
        <v>112</v>
      </c>
      <c r="E26" s="8" t="s">
        <v>113</v>
      </c>
      <c r="F26" s="5" t="str">
        <f>IFERROR(__xludf.DUMMYFUNCTION("IF(D26&lt;&gt;"""", GOOGLETRANSLATE(D26, ""vi"", ""en""), """")
"),"Rice, vegetarian salted fish, vegetarian shredded pork, vegetarian seaweed, green onions (adjusted)")</f>
        <v>Rice, vegetarian salted fish, vegetarian shredded pork, vegetarian seaweed, green onions (adjusted)</v>
      </c>
      <c r="G26" s="5" t="str">
        <f>IFERROR(__xludf.DUMMYFUNCTION("GOOGLETRANSLATE(E26,""en"",""zh"")"),"海苔炒饭")</f>
        <v>海苔炒饭</v>
      </c>
      <c r="H26" s="5" t="str">
        <f>IFERROR(__xludf.DUMMYFUNCTION("IF(D26&lt;&gt;"""", GOOGLETRANSLATE(F26, ""en"", ""zh""), """")
"),"米饭、素咸鱼、素肉丝、素海带、葱（适量）")</f>
        <v>米饭、素咸鱼、素肉丝、素海带、葱（适量）</v>
      </c>
      <c r="I26" s="9" t="s">
        <v>114</v>
      </c>
      <c r="J26" s="10" t="b">
        <v>0</v>
      </c>
      <c r="K26" s="10" t="b">
        <v>0</v>
      </c>
      <c r="L26" s="11" t="str">
        <f t="shared" si="1"/>
        <v/>
      </c>
    </row>
    <row r="27" ht="36.75" customHeight="1">
      <c r="A27" s="5" t="s">
        <v>110</v>
      </c>
      <c r="B27" s="6" t="s">
        <v>115</v>
      </c>
      <c r="C27" s="7">
        <v>55000.0</v>
      </c>
      <c r="D27" s="8" t="s">
        <v>116</v>
      </c>
      <c r="E27" s="8" t="s">
        <v>117</v>
      </c>
      <c r="F27" s="5" t="str">
        <f>IFERROR(__xludf.DUMMYFUNCTION("IF(D27&lt;&gt;"""", GOOGLETRANSLATE(D27, ""vi"", ""en""), """")
"),"Rice, pineapple, green beans, carrots, sweet corn, green onions (adjust to taste)")</f>
        <v>Rice, pineapple, green beans, carrots, sweet corn, green onions (adjust to taste)</v>
      </c>
      <c r="G27" s="5" t="str">
        <f>IFERROR(__xludf.DUMMYFUNCTION("GOOGLETRANSLATE(E27,""en"",""zh"")"),"泰式菠萝炒饭")</f>
        <v>泰式菠萝炒饭</v>
      </c>
      <c r="H27" s="5" t="str">
        <f>IFERROR(__xludf.DUMMYFUNCTION("IF(D27&lt;&gt;"""", GOOGLETRANSLATE(F27, ""en"", ""zh""), """")
"),"米饭、菠萝、四季豆、胡萝卜、甜玉米、葱（根据口味调整）")</f>
        <v>米饭、菠萝、四季豆、胡萝卜、甜玉米、葱（根据口味调整）</v>
      </c>
      <c r="I27" s="9" t="s">
        <v>118</v>
      </c>
      <c r="J27" s="10" t="b">
        <v>0</v>
      </c>
      <c r="K27" s="10" t="b">
        <v>0</v>
      </c>
      <c r="L27" s="11" t="str">
        <f t="shared" si="1"/>
        <v/>
      </c>
    </row>
    <row r="28" ht="36.75" customHeight="1">
      <c r="A28" s="5" t="s">
        <v>110</v>
      </c>
      <c r="B28" s="6" t="s">
        <v>119</v>
      </c>
      <c r="C28" s="7">
        <v>55000.0</v>
      </c>
      <c r="D28" s="8" t="s">
        <v>120</v>
      </c>
      <c r="E28" s="8" t="s">
        <v>121</v>
      </c>
      <c r="F28" s="5" t="str">
        <f>IFERROR(__xludf.DUMMYFUNCTION("IF(D28&lt;&gt;"""", GOOGLETRANSLATE(D28, ""vi"", ""en""), """")
"),"Yangzhou fried rice: Rice, green beans, carrots, sweet corn, green onions (adjust to taste)")</f>
        <v>Yangzhou fried rice: Rice, green beans, carrots, sweet corn, green onions (adjust to taste)</v>
      </c>
      <c r="G28" s="5" t="str">
        <f>IFERROR(__xludf.DUMMYFUNCTION("GOOGLETRANSLATE(E28,""en"",""zh"")"),"扬州炒饭")</f>
        <v>扬州炒饭</v>
      </c>
      <c r="H28" s="5" t="str">
        <f>IFERROR(__xludf.DUMMYFUNCTION("IF(D28&lt;&gt;"""", GOOGLETRANSLATE(F28, ""en"", ""zh""), """")
"),"扬州炒饭：米饭、四季豆、胡萝卜、甜玉米、葱（可根据口味调整）")</f>
        <v>扬州炒饭：米饭、四季豆、胡萝卜、甜玉米、葱（可根据口味调整）</v>
      </c>
      <c r="I28" s="9" t="s">
        <v>122</v>
      </c>
      <c r="J28" s="10" t="b">
        <v>0</v>
      </c>
      <c r="K28" s="10" t="b">
        <v>0</v>
      </c>
      <c r="L28" s="11" t="str">
        <f t="shared" si="1"/>
        <v/>
      </c>
    </row>
    <row r="29" ht="36.75" customHeight="1">
      <c r="A29" s="5" t="s">
        <v>110</v>
      </c>
      <c r="B29" s="6" t="s">
        <v>123</v>
      </c>
      <c r="C29" s="12">
        <v>59000.0</v>
      </c>
      <c r="D29" s="8" t="s">
        <v>124</v>
      </c>
      <c r="E29" s="8" t="s">
        <v>125</v>
      </c>
      <c r="F29" s="5" t="str">
        <f>IFERROR(__xludf.DUMMYFUNCTION("IF(D29&lt;&gt;"""", GOOGLETRANSLATE(D29, ""vi"", ""en""), """")
"),"Rice, bean sprouts, purple cabbage, bell peppers, sweet corn, sesame-coated peanuts, fried mushrooms, served with Korean mixed rice sauce.")</f>
        <v>Rice, bean sprouts, purple cabbage, bell peppers, sweet corn, sesame-coated peanuts, fried mushrooms, served with Korean mixed rice sauce.</v>
      </c>
      <c r="G29" s="5" t="str">
        <f>IFERROR(__xludf.DUMMYFUNCTION("GOOGLETRANSLATE(E29,""en"",""zh"")"),"韩式什锦饭")</f>
        <v>韩式什锦饭</v>
      </c>
      <c r="H29" s="5" t="str">
        <f>IFERROR(__xludf.DUMMYFUNCTION("IF(D29&lt;&gt;"""", GOOGLETRANSLATE(F29, ""en"", ""zh""), """")
"),"米饭、豆芽、紫甘蓝、甜椒、甜玉米、芝麻花生、炸蘑菇，配韩式什锦饭酱。")</f>
        <v>米饭、豆芽、紫甘蓝、甜椒、甜玉米、芝麻花生、炸蘑菇，配韩式什锦饭酱。</v>
      </c>
      <c r="I29" s="9" t="s">
        <v>126</v>
      </c>
      <c r="J29" s="10" t="b">
        <v>0</v>
      </c>
      <c r="K29" s="10" t="b">
        <v>0</v>
      </c>
      <c r="L29" s="11" t="str">
        <f t="shared" si="1"/>
        <v/>
      </c>
    </row>
    <row r="30" ht="36.75" customHeight="1">
      <c r="A30" s="5" t="s">
        <v>110</v>
      </c>
      <c r="B30" s="6" t="s">
        <v>127</v>
      </c>
      <c r="C30" s="7">
        <v>55000.0</v>
      </c>
      <c r="D30" s="8" t="s">
        <v>128</v>
      </c>
      <c r="E30" s="8" t="s">
        <v>129</v>
      </c>
      <c r="F30" s="5" t="str">
        <f>IFERROR(__xludf.DUMMYFUNCTION("IF(D30&lt;&gt;"""", GOOGLETRANSLATE(D30, ""vi"", ""en""), """")
"),"Rice, king oyster mushrooms, bell peppers, onions, fried garlic, and a dipping sauce served with vegetable soup.")</f>
        <v>Rice, king oyster mushrooms, bell peppers, onions, fried garlic, and a dipping sauce served with vegetable soup.</v>
      </c>
      <c r="G30" s="5" t="str">
        <f>IFERROR(__xludf.DUMMYFUNCTION("GOOGLETRANSLATE(E30,""en"",""zh"")"),"炒蘑菇丁饭和咖喱汤")</f>
        <v>炒蘑菇丁饭和咖喱汤</v>
      </c>
      <c r="H30" s="5" t="str">
        <f>IFERROR(__xludf.DUMMYFUNCTION("IF(D30&lt;&gt;"""", GOOGLETRANSLATE(F30, ""en"", ""zh""), """")
"),"米饭、杏鲍菇、甜椒、洋葱、炸蒜，配蘸酱和蔬菜汤。")</f>
        <v>米饭、杏鲍菇、甜椒、洋葱、炸蒜，配蘸酱和蔬菜汤。</v>
      </c>
      <c r="I30" s="9" t="s">
        <v>130</v>
      </c>
      <c r="J30" s="10" t="b">
        <v>0</v>
      </c>
      <c r="K30" s="10" t="b">
        <v>0</v>
      </c>
      <c r="L30" s="11" t="str">
        <f t="shared" si="1"/>
        <v/>
      </c>
    </row>
    <row r="31" ht="36.75" customHeight="1">
      <c r="A31" s="5" t="s">
        <v>110</v>
      </c>
      <c r="B31" s="6" t="s">
        <v>131</v>
      </c>
      <c r="C31" s="7">
        <v>55000.0</v>
      </c>
      <c r="D31" s="8" t="s">
        <v>132</v>
      </c>
      <c r="E31" s="8" t="s">
        <v>133</v>
      </c>
      <c r="F31" s="5" t="str">
        <f>IFERROR(__xludf.DUMMYFUNCTION("IF(D31&lt;&gt;"""", GOOGLETRANSLATE(D31, ""vi"", ""en""), """")
"),"Rice, king oyster mushrooms, sweet potatoes, carrots, taro, coconut milk, curry spices, served with vegetable soup.")</f>
        <v>Rice, king oyster mushrooms, sweet potatoes, carrots, taro, coconut milk, curry spices, served with vegetable soup.</v>
      </c>
      <c r="G31" s="5" t="str">
        <f>IFERROR(__xludf.DUMMYFUNCTION("GOOGLETRANSLATE(E31,""en"",""zh"")"),"咖喱饭和蔬菜汤")</f>
        <v>咖喱饭和蔬菜汤</v>
      </c>
      <c r="H31" s="5" t="str">
        <f>IFERROR(__xludf.DUMMYFUNCTION("IF(D31&lt;&gt;"""", GOOGLETRANSLATE(F31, ""en"", ""zh""), """")
"),"米饭、杏鲍菇、红薯、胡萝卜、芋头、椰奶、咖喱香料，配蔬菜汤。")</f>
        <v>米饭、杏鲍菇、红薯、胡萝卜、芋头、椰奶、咖喱香料，配蔬菜汤。</v>
      </c>
      <c r="I31" s="9" t="s">
        <v>134</v>
      </c>
      <c r="J31" s="10" t="b">
        <v>0</v>
      </c>
      <c r="K31" s="10" t="b">
        <v>0</v>
      </c>
      <c r="L31" s="11" t="str">
        <f t="shared" si="1"/>
        <v/>
      </c>
    </row>
    <row r="32" ht="36.75" customHeight="1">
      <c r="A32" s="5" t="s">
        <v>110</v>
      </c>
      <c r="B32" s="6" t="s">
        <v>135</v>
      </c>
      <c r="C32" s="7">
        <v>55000.0</v>
      </c>
      <c r="D32" s="8" t="s">
        <v>136</v>
      </c>
      <c r="E32" s="8" t="s">
        <v>104</v>
      </c>
      <c r="F32" s="5" t="str">
        <f>IFERROR(__xludf.DUMMYFUNCTION("IF(D32&lt;&gt;"""", GOOGLETRANSLATE(D32, ""vi"", ""en""), """")
"),"Korean glass noodles, bok choy, purple cabbage, carrots, fried oyster mushrooms, glass noodle sauce.")</f>
        <v>Korean glass noodles, bok choy, purple cabbage, carrots, fried oyster mushrooms, glass noodle sauce.</v>
      </c>
      <c r="G32" s="5" t="str">
        <f>IFERROR(__xludf.DUMMYFUNCTION("GOOGLETRANSLATE(E32,""en"",""zh"")"),"韩式泡菜火锅")</f>
        <v>韩式泡菜火锅</v>
      </c>
      <c r="H32" s="5" t="str">
        <f>IFERROR(__xludf.DUMMYFUNCTION("IF(D32&lt;&gt;"""", GOOGLETRANSLATE(F32, ""en"", ""zh""), """")
"),"韩国粉丝、小白菜、紫甘蓝、胡萝卜、炸平菇、粉丝酱。")</f>
        <v>韩国粉丝、小白菜、紫甘蓝、胡萝卜、炸平菇、粉丝酱。</v>
      </c>
      <c r="I32" s="9" t="s">
        <v>137</v>
      </c>
      <c r="J32" s="10" t="b">
        <v>1</v>
      </c>
      <c r="K32" s="10" t="b">
        <v>0</v>
      </c>
      <c r="L32" s="11" t="str">
        <f t="shared" si="1"/>
        <v/>
      </c>
    </row>
    <row r="33" ht="36.75" customHeight="1">
      <c r="A33" s="5" t="s">
        <v>110</v>
      </c>
      <c r="B33" s="6" t="s">
        <v>138</v>
      </c>
      <c r="C33" s="7">
        <v>55000.0</v>
      </c>
      <c r="D33" s="8" t="s">
        <v>139</v>
      </c>
      <c r="E33" s="8" t="s">
        <v>104</v>
      </c>
      <c r="F33" s="5" t="str">
        <f>IFERROR(__xludf.DUMMYFUNCTION("IF(D33&lt;&gt;"""", GOOGLETRANSLATE(D33, ""vi"", ""en""), """")
"),"Rice noodles, bean sprouts, chives, fried tofu, fried mushrooms, tamarind sauce, served with roasted peanuts, chili peppers, and lime.")</f>
        <v>Rice noodles, bean sprouts, chives, fried tofu, fried mushrooms, tamarind sauce, served with roasted peanuts, chili peppers, and lime.</v>
      </c>
      <c r="G33" s="5" t="str">
        <f>IFERROR(__xludf.DUMMYFUNCTION("GOOGLETRANSLATE(E33,""en"",""zh"")"),"韩式泡菜火锅")</f>
        <v>韩式泡菜火锅</v>
      </c>
      <c r="H33" s="5" t="str">
        <f>IFERROR(__xludf.DUMMYFUNCTION("IF(D33&lt;&gt;"""", GOOGLETRANSLATE(F33, ""en"", ""zh""), """")
"),"米粉、豆芽、韭菜、炸豆腐、炸蘑菇、罗望子酱，配烤花生、辣椒和青柠。")</f>
        <v>米粉、豆芽、韭菜、炸豆腐、炸蘑菇、罗望子酱，配烤花生、辣椒和青柠。</v>
      </c>
      <c r="I33" s="9" t="s">
        <v>140</v>
      </c>
      <c r="J33" s="10" t="b">
        <v>1</v>
      </c>
      <c r="K33" s="10" t="b">
        <v>0</v>
      </c>
      <c r="L33" s="11" t="str">
        <f t="shared" si="1"/>
        <v/>
      </c>
    </row>
    <row r="34" ht="36.75" customHeight="1">
      <c r="A34" s="5" t="s">
        <v>110</v>
      </c>
      <c r="B34" s="6" t="s">
        <v>141</v>
      </c>
      <c r="C34" s="7">
        <v>59000.0</v>
      </c>
      <c r="D34" s="8" t="s">
        <v>142</v>
      </c>
      <c r="E34" s="8" t="s">
        <v>104</v>
      </c>
      <c r="F34" s="5" t="str">
        <f>IFERROR(__xludf.DUMMYFUNCTION("IF(D34&lt;&gt;"""", GOOGLETRANSLATE(D34, ""vi"", ""en""), """")
"),"Rice noodles, bell peppers, Chinese cabbage, onions, Chinese bok choy, fried tofu, fried mushrooms, fried garlic.")</f>
        <v>Rice noodles, bell peppers, Chinese cabbage, onions, Chinese bok choy, fried tofu, fried mushrooms, fried garlic.</v>
      </c>
      <c r="G34" s="5" t="str">
        <f>IFERROR(__xludf.DUMMYFUNCTION("GOOGLETRANSLATE(E34,""en"",""zh"")"),"韩式泡菜火锅")</f>
        <v>韩式泡菜火锅</v>
      </c>
      <c r="H34" s="5" t="str">
        <f>IFERROR(__xludf.DUMMYFUNCTION("IF(D34&lt;&gt;"""", GOOGLETRANSLATE(F34, ""en"", ""zh""), """")
"),"米粉、甜椒、大白菜、洋葱、小白菜、炸豆腐、炸蘑菇、炸蒜。")</f>
        <v>米粉、甜椒、大白菜、洋葱、小白菜、炸豆腐、炸蘑菇、炸蒜。</v>
      </c>
      <c r="I34" s="9" t="s">
        <v>143</v>
      </c>
      <c r="J34" s="10" t="b">
        <v>0</v>
      </c>
      <c r="K34" s="10" t="b">
        <v>0</v>
      </c>
      <c r="L34" s="11" t="str">
        <f t="shared" si="1"/>
        <v/>
      </c>
    </row>
    <row r="35" ht="36.75" customHeight="1">
      <c r="A35" s="5" t="s">
        <v>110</v>
      </c>
      <c r="B35" s="6" t="s">
        <v>144</v>
      </c>
      <c r="C35" s="7">
        <v>59000.0</v>
      </c>
      <c r="D35" s="8" t="s">
        <v>145</v>
      </c>
      <c r="E35" s="8" t="s">
        <v>104</v>
      </c>
      <c r="F35" s="5" t="str">
        <f>IFERROR(__xludf.DUMMYFUNCTION("IF(D35&lt;&gt;"""", GOOGLETRANSLATE(D35, ""vi"", ""en""), """")
"),"Yellow noodles, bell peppers, Chinese cabbage, onions, Chinese bok choy, fried tofu, fried mushrooms, fried shallots.")</f>
        <v>Yellow noodles, bell peppers, Chinese cabbage, onions, Chinese bok choy, fried tofu, fried mushrooms, fried shallots.</v>
      </c>
      <c r="G35" s="5" t="str">
        <f>IFERROR(__xludf.DUMMYFUNCTION("GOOGLETRANSLATE(E35,""en"",""zh"")"),"韩式泡菜火锅")</f>
        <v>韩式泡菜火锅</v>
      </c>
      <c r="H35" s="5" t="str">
        <f>IFERROR(__xludf.DUMMYFUNCTION("IF(D35&lt;&gt;"""", GOOGLETRANSLATE(F35, ""en"", ""zh""), """")
"),"黄面条、甜椒、大白菜、洋葱、小白菜、炸豆腐、炸蘑菇、炸红葱头。")</f>
        <v>黄面条、甜椒、大白菜、洋葱、小白菜、炸豆腐、炸蘑菇、炸红葱头。</v>
      </c>
      <c r="I35" s="16" t="s">
        <v>146</v>
      </c>
      <c r="J35" s="10" t="b">
        <v>0</v>
      </c>
      <c r="K35" s="10" t="b">
        <v>0</v>
      </c>
      <c r="L35" s="11" t="str">
        <f t="shared" si="1"/>
        <v/>
      </c>
    </row>
    <row r="36" ht="36.75" customHeight="1">
      <c r="A36" s="5" t="s">
        <v>110</v>
      </c>
      <c r="B36" s="6" t="s">
        <v>147</v>
      </c>
      <c r="C36" s="7">
        <v>59000.0</v>
      </c>
      <c r="D36" s="8" t="s">
        <v>148</v>
      </c>
      <c r="E36" s="8" t="s">
        <v>104</v>
      </c>
      <c r="F36" s="5" t="str">
        <f>IFERROR(__xludf.DUMMYFUNCTION("IF(D36&lt;&gt;"""", GOOGLETRANSLATE(D36, ""vi"", ""en""), """")
"),"Spaghetti, king oyster mushrooms, tomato sauce.")</f>
        <v>Spaghetti, king oyster mushrooms, tomato sauce.</v>
      </c>
      <c r="G36" s="5" t="str">
        <f>IFERROR(__xludf.DUMMYFUNCTION("GOOGLETRANSLATE(E36,""en"",""zh"")"),"韩式泡菜火锅")</f>
        <v>韩式泡菜火锅</v>
      </c>
      <c r="H36" s="5" t="str">
        <f>IFERROR(__xludf.DUMMYFUNCTION("IF(D36&lt;&gt;"""", GOOGLETRANSLATE(F36, ""en"", ""zh""), """")
"),"意大利面、杏鲍菇、番茄酱。")</f>
        <v>意大利面、杏鲍菇、番茄酱。</v>
      </c>
      <c r="I36" s="9" t="s">
        <v>149</v>
      </c>
      <c r="J36" s="10" t="b">
        <v>0</v>
      </c>
      <c r="K36" s="10" t="b">
        <v>0</v>
      </c>
      <c r="L36" s="11" t="str">
        <f t="shared" si="1"/>
        <v/>
      </c>
    </row>
    <row r="37" ht="36.75" customHeight="1">
      <c r="A37" s="5" t="s">
        <v>110</v>
      </c>
      <c r="B37" s="6" t="s">
        <v>150</v>
      </c>
      <c r="C37" s="7">
        <v>65000.0</v>
      </c>
      <c r="D37" s="8" t="s">
        <v>151</v>
      </c>
      <c r="E37" s="8" t="s">
        <v>104</v>
      </c>
      <c r="F37" s="5" t="str">
        <f>IFERROR(__xludf.DUMMYFUNCTION("IF(D37&lt;&gt;"""", GOOGLETRANSLATE(D37, ""vi"", ""en""), """")
"),"curry, bread")</f>
        <v>curry, bread</v>
      </c>
      <c r="G37" s="5" t="str">
        <f>IFERROR(__xludf.DUMMYFUNCTION("GOOGLETRANSLATE(E37,""en"",""zh"")"),"韩式泡菜火锅")</f>
        <v>韩式泡菜火锅</v>
      </c>
      <c r="H37" s="5" t="str">
        <f>IFERROR(__xludf.DUMMYFUNCTION("IF(D37&lt;&gt;"""", GOOGLETRANSLATE(F37, ""en"", ""zh""), """")
"),"咖喱，面包")</f>
        <v>咖喱，面包</v>
      </c>
      <c r="I37" s="9" t="s">
        <v>152</v>
      </c>
      <c r="J37" s="10" t="b">
        <v>0</v>
      </c>
      <c r="K37" s="10" t="b">
        <v>0</v>
      </c>
      <c r="L37" s="11" t="str">
        <f t="shared" si="1"/>
        <v/>
      </c>
    </row>
    <row r="38" ht="36.75" customHeight="1">
      <c r="A38" s="5" t="s">
        <v>110</v>
      </c>
      <c r="B38" s="6" t="s">
        <v>153</v>
      </c>
      <c r="C38" s="7">
        <v>65000.0</v>
      </c>
      <c r="D38" s="8" t="s">
        <v>154</v>
      </c>
      <c r="E38" s="8" t="s">
        <v>104</v>
      </c>
      <c r="F38" s="5" t="str">
        <f>IFERROR(__xludf.DUMMYFUNCTION("IF(D38&lt;&gt;"""", GOOGLETRANSLATE(D38, ""vi"", ""en""), """")
"),"mushrooms, potatoes")</f>
        <v>mushrooms, potatoes</v>
      </c>
      <c r="G38" s="5" t="str">
        <f>IFERROR(__xludf.DUMMYFUNCTION("GOOGLETRANSLATE(E38,""en"",""zh"")"),"韩式泡菜火锅")</f>
        <v>韩式泡菜火锅</v>
      </c>
      <c r="H38" s="5" t="str">
        <f>IFERROR(__xludf.DUMMYFUNCTION("IF(D38&lt;&gt;"""", GOOGLETRANSLATE(F38, ""en"", ""zh""), """")
"),"蘑菇、土豆")</f>
        <v>蘑菇、土豆</v>
      </c>
      <c r="I38" s="9" t="s">
        <v>155</v>
      </c>
      <c r="J38" s="10" t="b">
        <v>0</v>
      </c>
      <c r="K38" s="10" t="b">
        <v>0</v>
      </c>
      <c r="L38" s="11" t="str">
        <f t="shared" si="1"/>
        <v/>
      </c>
    </row>
    <row r="39" ht="36.75" customHeight="1">
      <c r="A39" s="5" t="s">
        <v>156</v>
      </c>
      <c r="B39" s="6" t="s">
        <v>157</v>
      </c>
      <c r="C39" s="7">
        <v>50000.0</v>
      </c>
      <c r="D39" s="8" t="s">
        <v>158</v>
      </c>
      <c r="E39" s="8" t="s">
        <v>159</v>
      </c>
      <c r="F39" s="5" t="str">
        <f>IFERROR(__xludf.DUMMYFUNCTION("IF(D39&lt;&gt;"""", GOOGLETRANSLATE(D39, ""vi"", ""en""), """")
"),"Seaweed, tofu, oyster mushrooms, carrots, fried onions, pepper, ginger")</f>
        <v>Seaweed, tofu, oyster mushrooms, carrots, fried onions, pepper, ginger</v>
      </c>
      <c r="G39" s="5" t="str">
        <f>IFERROR(__xludf.DUMMYFUNCTION("GOOGLETRANSLATE(E39,""en"",""zh"")"),"豆腐蘑菇海带汤")</f>
        <v>豆腐蘑菇海带汤</v>
      </c>
      <c r="H39" s="5" t="str">
        <f>IFERROR(__xludf.DUMMYFUNCTION("IF(D39&lt;&gt;"""", GOOGLETRANSLATE(F39, ""en"", ""zh""), """")
"),"海带、豆腐、平菇、胡萝卜、炸洋葱、辣椒、生姜")</f>
        <v>海带、豆腐、平菇、胡萝卜、炸洋葱、辣椒、生姜</v>
      </c>
      <c r="I39" s="9" t="s">
        <v>160</v>
      </c>
      <c r="J39" s="10" t="b">
        <v>0</v>
      </c>
      <c r="K39" s="10" t="b">
        <v>0</v>
      </c>
      <c r="L39" s="11" t="str">
        <f t="shared" si="1"/>
        <v/>
      </c>
    </row>
    <row r="40" ht="36.75" customHeight="1">
      <c r="A40" s="5" t="s">
        <v>156</v>
      </c>
      <c r="B40" s="6" t="s">
        <v>161</v>
      </c>
      <c r="C40" s="7">
        <v>50000.0</v>
      </c>
      <c r="D40" s="8" t="s">
        <v>162</v>
      </c>
      <c r="E40" s="8" t="s">
        <v>163</v>
      </c>
      <c r="F40" s="5" t="str">
        <f>IFERROR(__xludf.DUMMYFUNCTION("IF(D40&lt;&gt;"""", GOOGLETRANSLATE(D40, ""vi"", ""en""), """")
"),"mint, okra, bean sprouts, tomatoes, pineapple, various herbs, fried garlic.")</f>
        <v>mint, okra, bean sprouts, tomatoes, pineapple, various herbs, fried garlic.</v>
      </c>
      <c r="G40" s="5" t="str">
        <f>IFERROR(__xludf.DUMMYFUNCTION("GOOGLETRANSLATE(E40,""en"",""zh"")"),"越南南部糖醋汤")</f>
        <v>越南南部糖醋汤</v>
      </c>
      <c r="H40" s="5" t="str">
        <f>IFERROR(__xludf.DUMMYFUNCTION("IF(D40&lt;&gt;"""", GOOGLETRANSLATE(F40, ""en"", ""zh""), """")
"),"薄荷、秋葵、豆芽、西红柿、菠萝、各种香草、炸蒜。")</f>
        <v>薄荷、秋葵、豆芽、西红柿、菠萝、各种香草、炸蒜。</v>
      </c>
      <c r="I40" s="9" t="s">
        <v>164</v>
      </c>
      <c r="J40" s="10" t="b">
        <v>0</v>
      </c>
      <c r="K40" s="10" t="b">
        <v>0</v>
      </c>
      <c r="L40" s="11" t="str">
        <f t="shared" si="1"/>
        <v/>
      </c>
    </row>
    <row r="41" ht="36.75" customHeight="1">
      <c r="A41" s="5" t="s">
        <v>156</v>
      </c>
      <c r="B41" s="6" t="s">
        <v>165</v>
      </c>
      <c r="C41" s="7">
        <v>50000.0</v>
      </c>
      <c r="D41" s="8" t="s">
        <v>166</v>
      </c>
      <c r="E41" s="8" t="s">
        <v>167</v>
      </c>
      <c r="F41" s="5" t="str">
        <f>IFERROR(__xludf.DUMMYFUNCTION("IF(D41&lt;&gt;"""", GOOGLETRANSLATE(D41, ""vi"", ""en""), """")
"),"Chinese cabbage, oyster mushrooms, ginger, pepper")</f>
        <v>Chinese cabbage, oyster mushrooms, ginger, pepper</v>
      </c>
      <c r="G41" s="5" t="str">
        <f>IFERROR(__xludf.DUMMYFUNCTION("GOOGLETRANSLATE(E41,""en"",""zh"")"),"芥菜蘑菇汤")</f>
        <v>芥菜蘑菇汤</v>
      </c>
      <c r="H41" s="5" t="str">
        <f>IFERROR(__xludf.DUMMYFUNCTION("IF(D41&lt;&gt;"""", GOOGLETRANSLATE(F41, ""en"", ""zh""), """")
"),"大白菜、平菇、生姜、胡椒")</f>
        <v>大白菜、平菇、生姜、胡椒</v>
      </c>
      <c r="I41" s="16" t="s">
        <v>168</v>
      </c>
      <c r="J41" s="10" t="b">
        <v>0</v>
      </c>
      <c r="K41" s="10" t="b">
        <v>0</v>
      </c>
      <c r="L41" s="11" t="str">
        <f t="shared" si="1"/>
        <v/>
      </c>
    </row>
    <row r="42" ht="36.75" customHeight="1">
      <c r="A42" s="5" t="s">
        <v>156</v>
      </c>
      <c r="B42" s="6" t="s">
        <v>169</v>
      </c>
      <c r="C42" s="7">
        <v>39000.0</v>
      </c>
      <c r="D42" s="8" t="s">
        <v>170</v>
      </c>
      <c r="E42" s="8" t="s">
        <v>171</v>
      </c>
      <c r="F42" s="5" t="str">
        <f>IFERROR(__xludf.DUMMYFUNCTION("IF(D42&lt;&gt;"""", GOOGLETRANSLATE(D42, ""vi"", ""en""), """")
"),"Sweet potato, sweet corn, carrots, mushrooms, green beans, fried onions, pepper, coriander")</f>
        <v>Sweet potato, sweet corn, carrots, mushrooms, green beans, fried onions, pepper, coriander</v>
      </c>
      <c r="G42" s="5" t="str">
        <f>IFERROR(__xludf.DUMMYFUNCTION("GOOGLETRANSLATE(E42,""en"",""zh"")"),"发菜汤")</f>
        <v>发菜汤</v>
      </c>
      <c r="H42" s="5" t="str">
        <f>IFERROR(__xludf.DUMMYFUNCTION("IF(D42&lt;&gt;"""", GOOGLETRANSLATE(F42, ""en"", ""zh""), """")
"),"红薯、甜玉米、胡萝卜、蘑菇、四季豆、炸洋葱、辣椒、香菜")</f>
        <v>红薯、甜玉米、胡萝卜、蘑菇、四季豆、炸洋葱、辣椒、香菜</v>
      </c>
      <c r="I42" s="9" t="s">
        <v>172</v>
      </c>
      <c r="J42" s="10" t="b">
        <v>0</v>
      </c>
      <c r="K42" s="10" t="b">
        <v>0</v>
      </c>
      <c r="L42" s="11" t="str">
        <f t="shared" si="1"/>
        <v/>
      </c>
    </row>
    <row r="43" ht="36.75" customHeight="1">
      <c r="A43" s="5" t="s">
        <v>156</v>
      </c>
      <c r="B43" s="6" t="s">
        <v>173</v>
      </c>
      <c r="C43" s="7">
        <v>39000.0</v>
      </c>
      <c r="D43" s="8" t="s">
        <v>174</v>
      </c>
      <c r="E43" s="8" t="s">
        <v>175</v>
      </c>
      <c r="F43" s="5" t="str">
        <f>IFERROR(__xludf.DUMMYFUNCTION("IF(D43&lt;&gt;"""", GOOGLETRANSLATE(D43, ""vi"", ""en""), """")
"),"Snow fungus, lotus seeds, carrot mushrooms, green beans, fried onions, pepper, coriander.")</f>
        <v>Snow fungus, lotus seeds, carrot mushrooms, green beans, fried onions, pepper, coriander.</v>
      </c>
      <c r="G43" s="5" t="str">
        <f>IFERROR(__xludf.DUMMYFUNCTION("GOOGLETRANSLATE(E43,""en"",""zh"")"),"莲子白木耳汤")</f>
        <v>莲子白木耳汤</v>
      </c>
      <c r="H43" s="5" t="str">
        <f>IFERROR(__xludf.DUMMYFUNCTION("IF(D43&lt;&gt;"""", GOOGLETRANSLATE(F43, ""en"", ""zh""), """")
"),"银耳、莲子、胡萝卜菇、四季豆、炸洋葱、辣椒、香菜。")</f>
        <v>银耳、莲子、胡萝卜菇、四季豆、炸洋葱、辣椒、香菜。</v>
      </c>
      <c r="I43" s="9" t="s">
        <v>176</v>
      </c>
      <c r="J43" s="10" t="b">
        <v>0</v>
      </c>
      <c r="K43" s="10" t="b">
        <v>0</v>
      </c>
      <c r="L43" s="11" t="str">
        <f t="shared" si="1"/>
        <v/>
      </c>
    </row>
    <row r="44" ht="36.75" customHeight="1">
      <c r="A44" s="5" t="s">
        <v>177</v>
      </c>
      <c r="B44" s="6" t="s">
        <v>178</v>
      </c>
      <c r="C44" s="7">
        <v>45000.0</v>
      </c>
      <c r="D44" s="8" t="s">
        <v>179</v>
      </c>
      <c r="E44" s="8" t="s">
        <v>180</v>
      </c>
      <c r="F44" s="5" t="str">
        <f>IFERROR(__xludf.DUMMYFUNCTION("IF(D44&lt;&gt;"""", GOOGLETRANSLATE(D44, ""vi"", ""en""), """")
"),"Water spinach and fried garlic served with soy sauce.")</f>
        <v>Water spinach and fried garlic served with soy sauce.</v>
      </c>
      <c r="G44" s="5" t="str">
        <f>IFERROR(__xludf.DUMMYFUNCTION("GOOGLETRANSLATE(E44,""en"",""zh"")"),"蒜蓉炒空心菜")</f>
        <v>蒜蓉炒空心菜</v>
      </c>
      <c r="H44" s="5" t="str">
        <f>IFERROR(__xludf.DUMMYFUNCTION("IF(D44&lt;&gt;"""", GOOGLETRANSLATE(F44, ""en"", ""zh""), """")
"),"空心菜和炸蒜，佐以酱油。")</f>
        <v>空心菜和炸蒜，佐以酱油。</v>
      </c>
      <c r="I44" s="9" t="s">
        <v>181</v>
      </c>
      <c r="J44" s="10" t="b">
        <v>0</v>
      </c>
      <c r="K44" s="10" t="b">
        <v>0</v>
      </c>
      <c r="L44" s="11" t="str">
        <f t="shared" si="1"/>
        <v/>
      </c>
    </row>
    <row r="45" ht="36.75" customHeight="1">
      <c r="A45" s="5" t="s">
        <v>177</v>
      </c>
      <c r="B45" s="6" t="s">
        <v>182</v>
      </c>
      <c r="C45" s="7">
        <v>55000.0</v>
      </c>
      <c r="D45" s="8" t="s">
        <v>183</v>
      </c>
      <c r="E45" s="8" t="s">
        <v>184</v>
      </c>
      <c r="F45" s="5" t="str">
        <f>IFERROR(__xludf.DUMMYFUNCTION("IF(D45&lt;&gt;"""", GOOGLETRANSLATE(D45, ""vi"", ""en""), """")
"),"Water spinach, oyster mushrooms, and fried garlic served with soy sauce.")</f>
        <v>Water spinach, oyster mushrooms, and fried garlic served with soy sauce.</v>
      </c>
      <c r="G45" s="5" t="str">
        <f>IFERROR(__xludf.DUMMYFUNCTION("GOOGLETRANSLATE(E45,""en"",""zh"")"),"蘑菇炒空心菜")</f>
        <v>蘑菇炒空心菜</v>
      </c>
      <c r="H45" s="5" t="str">
        <f>IFERROR(__xludf.DUMMYFUNCTION("IF(D45&lt;&gt;"""", GOOGLETRANSLATE(F45, ""en"", ""zh""), """")
"),"空心菜、平菇和炸蒜，佐以酱油。")</f>
        <v>空心菜、平菇和炸蒜，佐以酱油。</v>
      </c>
      <c r="I45" s="9" t="s">
        <v>185</v>
      </c>
      <c r="J45" s="10" t="b">
        <v>0</v>
      </c>
      <c r="K45" s="10" t="b">
        <v>0</v>
      </c>
      <c r="L45" s="11" t="str">
        <f t="shared" si="1"/>
        <v/>
      </c>
    </row>
    <row r="46" ht="36.75" customHeight="1">
      <c r="A46" s="5" t="s">
        <v>177</v>
      </c>
      <c r="B46" s="6" t="s">
        <v>186</v>
      </c>
      <c r="C46" s="7">
        <v>55000.0</v>
      </c>
      <c r="D46" s="8" t="s">
        <v>187</v>
      </c>
      <c r="E46" s="8" t="s">
        <v>188</v>
      </c>
      <c r="F46" s="5" t="str">
        <f>IFERROR(__xludf.DUMMYFUNCTION("IF(D46&lt;&gt;"""", GOOGLETRANSLATE(D46, ""vi"", ""en""), """")
"),"Chinese cabbage, carrots, bell peppers, bok choy, and fried garlic are served with soy sauce.")</f>
        <v>Chinese cabbage, carrots, bell peppers, bok choy, and fried garlic are served with soy sauce.</v>
      </c>
      <c r="G46" s="5" t="str">
        <f>IFERROR(__xludf.DUMMYFUNCTION("GOOGLETRANSLATE(E46,""en"",""zh"")"),"什锦炒蔬菜")</f>
        <v>什锦炒蔬菜</v>
      </c>
      <c r="H46" s="5" t="str">
        <f>IFERROR(__xludf.DUMMYFUNCTION("IF(D46&lt;&gt;"""", GOOGLETRANSLATE(F46, ""en"", ""zh""), """")
"),"大白菜、胡萝卜、甜椒、小白菜和炸蒜配酱油食用。")</f>
        <v>大白菜、胡萝卜、甜椒、小白菜和炸蒜配酱油食用。</v>
      </c>
      <c r="I46" s="9" t="s">
        <v>189</v>
      </c>
      <c r="J46" s="10" t="b">
        <v>0</v>
      </c>
      <c r="K46" s="10" t="b">
        <v>0</v>
      </c>
      <c r="L46" s="11" t="str">
        <f t="shared" si="1"/>
        <v/>
      </c>
    </row>
    <row r="47" ht="36.75" customHeight="1">
      <c r="A47" s="5" t="s">
        <v>177</v>
      </c>
      <c r="B47" s="6" t="s">
        <v>190</v>
      </c>
      <c r="C47" s="7">
        <v>55000.0</v>
      </c>
      <c r="D47" s="8" t="s">
        <v>191</v>
      </c>
      <c r="E47" s="8" t="s">
        <v>192</v>
      </c>
      <c r="F47" s="5" t="str">
        <f>IFERROR(__xludf.DUMMYFUNCTION("IF(D47&lt;&gt;"""", GOOGLETRANSLATE(D47, ""vi"", ""en""), """")
"),"Chinese cabbage, bitter melon, carrots, bok choy, okra, and gourd are served as accompaniments to braised pork belly with fish sauce.")</f>
        <v>Chinese cabbage, bitter melon, carrots, bok choy, okra, and gourd are served as accompaniments to braised pork belly with fish sauce.</v>
      </c>
      <c r="G47" s="5" t="str">
        <f>IFERROR(__xludf.DUMMYFUNCTION("GOOGLETRANSLATE(E47,""en"",""zh"")"),"焦糖咸酱水煮蔬菜")</f>
        <v>焦糖咸酱水煮蔬菜</v>
      </c>
      <c r="H47" s="5" t="str">
        <f>IFERROR(__xludf.DUMMYFUNCTION("IF(D47&lt;&gt;"""", GOOGLETRANSLATE(F47, ""en"", ""zh""), """")
"),"大白菜、苦瓜、胡萝卜、小白菜、秋葵和葫芦可作为鱼露红烧肉的配菜。")</f>
        <v>大白菜、苦瓜、胡萝卜、小白菜、秋葵和葫芦可作为鱼露红烧肉的配菜。</v>
      </c>
      <c r="I47" s="9" t="s">
        <v>193</v>
      </c>
      <c r="J47" s="10" t="b">
        <v>0</v>
      </c>
      <c r="K47" s="10" t="b">
        <v>0</v>
      </c>
      <c r="L47" s="11" t="str">
        <f t="shared" si="1"/>
        <v/>
      </c>
    </row>
    <row r="48" ht="36.75" customHeight="1">
      <c r="A48" s="5" t="s">
        <v>177</v>
      </c>
      <c r="B48" s="6" t="s">
        <v>194</v>
      </c>
      <c r="C48" s="7">
        <v>55000.0</v>
      </c>
      <c r="D48" s="8" t="s">
        <v>195</v>
      </c>
      <c r="E48" s="8" t="s">
        <v>196</v>
      </c>
      <c r="F48" s="5" t="str">
        <f>IFERROR(__xludf.DUMMYFUNCTION("IF(D48&lt;&gt;"""", GOOGLETRANSLATE(D48, ""vi"", ""en""), """")
"),"Bok choy, carrots, shiitake mushrooms, vegetarian oyster sauce")</f>
        <v>Bok choy, carrots, shiitake mushrooms, vegetarian oyster sauce</v>
      </c>
      <c r="G48" s="5" t="str">
        <f>IFERROR(__xludf.DUMMYFUNCTION("GOOGLETRANSLATE(E48,""en"",""zh"")"),"香菇酱炒小白菜")</f>
        <v>香菇酱炒小白菜</v>
      </c>
      <c r="H48" s="5" t="str">
        <f>IFERROR(__xludf.DUMMYFUNCTION("IF(D48&lt;&gt;"""", GOOGLETRANSLATE(F48, ""en"", ""zh""), """")
"),"小白菜、胡萝卜、香菇、素蚝油")</f>
        <v>小白菜、胡萝卜、香菇、素蚝油</v>
      </c>
      <c r="I48" s="9" t="s">
        <v>197</v>
      </c>
      <c r="J48" s="10" t="b">
        <v>0</v>
      </c>
      <c r="K48" s="10" t="b">
        <v>0</v>
      </c>
      <c r="L48" s="11" t="str">
        <f t="shared" si="1"/>
        <v/>
      </c>
    </row>
    <row r="49" ht="36.75" customHeight="1">
      <c r="A49" s="5" t="s">
        <v>177</v>
      </c>
      <c r="B49" s="6" t="s">
        <v>198</v>
      </c>
      <c r="C49" s="7">
        <v>65000.0</v>
      </c>
      <c r="D49" s="8" t="s">
        <v>199</v>
      </c>
      <c r="E49" s="8" t="s">
        <v>200</v>
      </c>
      <c r="F49" s="5" t="str">
        <f>IFERROR(__xludf.DUMMYFUNCTION("IF(D49&lt;&gt;"""", GOOGLETRANSLATE(D49, ""vi"", ""en""), """")
"),"King oyster mushrooms and black pepper sauce")</f>
        <v>King oyster mushrooms and black pepper sauce</v>
      </c>
      <c r="G49" s="5" t="str">
        <f>IFERROR(__xludf.DUMMYFUNCTION("GOOGLETRANSLATE(E49,""en"",""zh"")"),"黑椒酱炒蘑菇")</f>
        <v>黑椒酱炒蘑菇</v>
      </c>
      <c r="H49" s="5" t="str">
        <f>IFERROR(__xludf.DUMMYFUNCTION("IF(D49&lt;&gt;"""", GOOGLETRANSLATE(F49, ""en"", ""zh""), """")
"),"杏鲍菇和黑胡椒酱")</f>
        <v>杏鲍菇和黑胡椒酱</v>
      </c>
      <c r="I49" s="16" t="s">
        <v>201</v>
      </c>
      <c r="J49" s="10" t="b">
        <v>0</v>
      </c>
      <c r="K49" s="10" t="b">
        <v>0</v>
      </c>
      <c r="L49" s="11" t="str">
        <f t="shared" si="1"/>
        <v/>
      </c>
    </row>
    <row r="50" ht="36.75" customHeight="1">
      <c r="A50" s="5" t="s">
        <v>177</v>
      </c>
      <c r="B50" s="6" t="s">
        <v>202</v>
      </c>
      <c r="C50" s="7">
        <v>55000.0</v>
      </c>
      <c r="D50" s="8" t="s">
        <v>203</v>
      </c>
      <c r="E50" s="8" t="s">
        <v>204</v>
      </c>
      <c r="F50" s="5" t="str">
        <f>IFERROR(__xludf.DUMMYFUNCTION("IF(D50&lt;&gt;"""", GOOGLETRANSLATE(D50, ""vi"", ""en""), """")
"),"Carrots, onions, mushrooms, Sichuan sauce")</f>
        <v>Carrots, onions, mushrooms, Sichuan sauce</v>
      </c>
      <c r="G50" s="5" t="str">
        <f>IFERROR(__xludf.DUMMYFUNCTION("GOOGLETRANSLATE(E50,""en"",""zh"")"),"麻婆豆腐")</f>
        <v>麻婆豆腐</v>
      </c>
      <c r="H50" s="5" t="str">
        <f>IFERROR(__xludf.DUMMYFUNCTION("IF(D50&lt;&gt;"""", GOOGLETRANSLATE(F50, ""en"", ""zh""), """")
"),"胡萝卜、洋葱、蘑菇、四川酱")</f>
        <v>胡萝卜、洋葱、蘑菇、四川酱</v>
      </c>
      <c r="I50" s="9" t="s">
        <v>205</v>
      </c>
      <c r="J50" s="10" t="b">
        <v>0</v>
      </c>
      <c r="K50" s="10" t="b">
        <v>1</v>
      </c>
      <c r="L50" s="11" t="str">
        <f t="shared" si="1"/>
        <v/>
      </c>
    </row>
    <row r="51" ht="36.75" customHeight="1">
      <c r="A51" s="5" t="s">
        <v>177</v>
      </c>
      <c r="B51" s="6" t="s">
        <v>206</v>
      </c>
      <c r="C51" s="7">
        <v>55000.0</v>
      </c>
      <c r="D51" s="8" t="s">
        <v>103</v>
      </c>
      <c r="E51" s="8" t="s">
        <v>207</v>
      </c>
      <c r="F51" s="5" t="str">
        <f>IFERROR(__xludf.DUMMYFUNCTION("IF(D51&lt;&gt;"""", GOOGLETRANSLATE(D51, ""vi"", ""en""), """")
"),"Kimchi hot pot broth, purple cabbage, napa cabbage, and oyster mushrooms served with Korean noodles.")</f>
        <v>Kimchi hot pot broth, purple cabbage, napa cabbage, and oyster mushrooms served with Korean noodles.</v>
      </c>
      <c r="G51" s="5" t="str">
        <f>IFERROR(__xludf.DUMMYFUNCTION("GOOGLETRANSLATE(E51,""en"",""zh"")"),"咸豆酱蒸豆腐")</f>
        <v>咸豆酱蒸豆腐</v>
      </c>
      <c r="H51" s="5" t="str">
        <f>IFERROR(__xludf.DUMMYFUNCTION("IF(D51&lt;&gt;"""", GOOGLETRANSLATE(F51, ""en"", ""zh""), """")
"),"泡菜火锅汤底，配紫甘蓝、大白菜、平菇和韩式面条。")</f>
        <v>泡菜火锅汤底，配紫甘蓝、大白菜、平菇和韩式面条。</v>
      </c>
      <c r="I51" s="9" t="s">
        <v>208</v>
      </c>
      <c r="J51" s="10" t="b">
        <v>0</v>
      </c>
      <c r="K51" s="10" t="b">
        <v>0</v>
      </c>
      <c r="L51" s="11" t="str">
        <f t="shared" si="1"/>
        <v/>
      </c>
    </row>
    <row r="52" ht="36.75" customHeight="1">
      <c r="A52" s="5" t="s">
        <v>177</v>
      </c>
      <c r="B52" s="6" t="s">
        <v>209</v>
      </c>
      <c r="C52" s="7">
        <v>55000.0</v>
      </c>
      <c r="D52" s="8" t="s">
        <v>210</v>
      </c>
      <c r="E52" s="8" t="s">
        <v>211</v>
      </c>
      <c r="F52" s="5" t="str">
        <f>IFERROR(__xludf.DUMMYFUNCTION("IF(D52&lt;&gt;"""", GOOGLETRANSLATE(D52, ""vi"", ""en""), """")
"),"Fried tofu, onions, bell peppers, satay sauce")</f>
        <v>Fried tofu, onions, bell peppers, satay sauce</v>
      </c>
      <c r="G52" s="5" t="str">
        <f>IFERROR(__xludf.DUMMYFUNCTION("GOOGLETRANSLATE(E52,""en"",""zh"")"),"沙爹豆腐")</f>
        <v>沙爹豆腐</v>
      </c>
      <c r="H52" s="5" t="str">
        <f>IFERROR(__xludf.DUMMYFUNCTION("IF(D52&lt;&gt;"""", GOOGLETRANSLATE(F52, ""en"", ""zh""), """")
"),"炸豆腐、洋葱、甜椒、沙爹酱")</f>
        <v>炸豆腐、洋葱、甜椒、沙爹酱</v>
      </c>
      <c r="I52" s="16" t="s">
        <v>212</v>
      </c>
      <c r="J52" s="10" t="b">
        <v>0</v>
      </c>
      <c r="K52" s="10" t="b">
        <v>0</v>
      </c>
      <c r="L52" s="11" t="str">
        <f t="shared" si="1"/>
        <v/>
      </c>
    </row>
    <row r="53" ht="36.75" customHeight="1">
      <c r="A53" s="5" t="s">
        <v>177</v>
      </c>
      <c r="B53" s="6" t="s">
        <v>213</v>
      </c>
      <c r="C53" s="7">
        <v>65000.0</v>
      </c>
      <c r="D53" s="8" t="s">
        <v>214</v>
      </c>
      <c r="E53" s="8" t="s">
        <v>215</v>
      </c>
      <c r="F53" s="5" t="str">
        <f>IFERROR(__xludf.DUMMYFUNCTION("IF(D53&lt;&gt;"""", GOOGLETRANSLATE(D53, ""vi"", ""en""), """")
"),"straw mushrooms, onions, peppers")</f>
        <v>straw mushrooms, onions, peppers</v>
      </c>
      <c r="G53" s="5" t="str">
        <f>IFERROR(__xludf.DUMMYFUNCTION("GOOGLETRANSLATE(E53,""en"",""zh"")"),"黑椒焖草菇")</f>
        <v>黑椒焖草菇</v>
      </c>
      <c r="H53" s="5" t="str">
        <f>IFERROR(__xludf.DUMMYFUNCTION("IF(D53&lt;&gt;"""", GOOGLETRANSLATE(F53, ""en"", ""zh""), """")
"),"草菇、洋葱、辣椒")</f>
        <v>草菇、洋葱、辣椒</v>
      </c>
      <c r="I53" s="16" t="s">
        <v>216</v>
      </c>
      <c r="J53" s="10" t="b">
        <v>0</v>
      </c>
      <c r="K53" s="10" t="b">
        <v>0</v>
      </c>
      <c r="L53" s="11" t="str">
        <f t="shared" si="1"/>
        <v/>
      </c>
    </row>
    <row r="54" ht="36.75" customHeight="1">
      <c r="A54" s="5" t="s">
        <v>177</v>
      </c>
      <c r="B54" s="6" t="s">
        <v>217</v>
      </c>
      <c r="C54" s="7">
        <v>65000.0</v>
      </c>
      <c r="D54" s="8" t="s">
        <v>214</v>
      </c>
      <c r="E54" s="8" t="s">
        <v>218</v>
      </c>
      <c r="F54" s="5" t="str">
        <f>IFERROR(__xludf.DUMMYFUNCTION("IF(D54&lt;&gt;"""", GOOGLETRANSLATE(D54, ""vi"", ""en""), """")
"),"straw mushrooms, onions, peppers")</f>
        <v>straw mushrooms, onions, peppers</v>
      </c>
      <c r="G54" s="5" t="str">
        <f>IFERROR(__xludf.DUMMYFUNCTION("GOOGLETRANSLATE(E54,""en"",""zh"")"),"姜汁焖蘑菇")</f>
        <v>姜汁焖蘑菇</v>
      </c>
      <c r="H54" s="5" t="str">
        <f>IFERROR(__xludf.DUMMYFUNCTION("IF(D54&lt;&gt;"""", GOOGLETRANSLATE(F54, ""en"", ""zh""), """")
"),"草菇、洋葱、辣椒")</f>
        <v>草菇、洋葱、辣椒</v>
      </c>
      <c r="I54" s="9" t="s">
        <v>219</v>
      </c>
      <c r="J54" s="10" t="b">
        <v>0</v>
      </c>
      <c r="K54" s="10" t="b">
        <v>0</v>
      </c>
      <c r="L54" s="11" t="str">
        <f t="shared" si="1"/>
        <v/>
      </c>
    </row>
    <row r="55" ht="36.75" customHeight="1">
      <c r="A55" s="5" t="s">
        <v>220</v>
      </c>
      <c r="B55" s="6" t="s">
        <v>221</v>
      </c>
      <c r="C55" s="7">
        <v>35000.0</v>
      </c>
      <c r="D55" s="8" t="s">
        <v>222</v>
      </c>
      <c r="E55" s="8" t="s">
        <v>223</v>
      </c>
      <c r="F55" s="5" t="str">
        <f>IFERROR(__xludf.DUMMYFUNCTION("IF(D55&lt;&gt;"""", GOOGLETRANSLATE(D55, ""vi"", ""en""), """")
"),"Snowflake, snow lotus seeds, peach resin, goji berries, red dates, longan")</f>
        <v>Snowflake, snow lotus seeds, peach resin, goji berries, red dates, longan</v>
      </c>
      <c r="G55" s="5" t="str">
        <f>IFERROR(__xludf.DUMMYFUNCTION("GOOGLETRANSLATE(E55,""en"",""zh"")"),"黄蓍胶清新美容甜汤")</f>
        <v>黄蓍胶清新美容甜汤</v>
      </c>
      <c r="H55" s="5" t="str">
        <f>IFERROR(__xludf.DUMMYFUNCTION("IF(D55&lt;&gt;"""", GOOGLETRANSLATE(F55, ""en"", ""zh""), """")
"),"雪花莲、雪莲子、桃树脂、枸杞、红枣、龙眼")</f>
        <v>雪花莲、雪莲子、桃树脂、枸杞、红枣、龙眼</v>
      </c>
      <c r="I55" s="9" t="s">
        <v>224</v>
      </c>
      <c r="J55" s="10" t="b">
        <v>0</v>
      </c>
      <c r="K55" s="10" t="b">
        <v>0</v>
      </c>
      <c r="L55" s="11" t="str">
        <f t="shared" si="1"/>
        <v/>
      </c>
    </row>
    <row r="56" ht="36.75" customHeight="1">
      <c r="A56" s="5" t="s">
        <v>220</v>
      </c>
      <c r="B56" s="6" t="s">
        <v>225</v>
      </c>
      <c r="C56" s="7">
        <v>35000.0</v>
      </c>
      <c r="D56" s="8" t="s">
        <v>226</v>
      </c>
      <c r="E56" s="8" t="s">
        <v>227</v>
      </c>
      <c r="F56" s="5" t="str">
        <f>IFERROR(__xludf.DUMMYFUNCTION("IF(D56&lt;&gt;"""", GOOGLETRANSLATE(D56, ""vi"", ""en""), """")
"),"lotus seeds, goji berries, red dates, cordyceps")</f>
        <v>lotus seeds, goji berries, red dates, cordyceps</v>
      </c>
      <c r="G56" s="5" t="str">
        <f>IFERROR(__xludf.DUMMYFUNCTION("GOOGLETRANSLATE(E56,""en"",""zh"")"),"莲子虫草甜汤")</f>
        <v>莲子虫草甜汤</v>
      </c>
      <c r="H56" s="5" t="str">
        <f>IFERROR(__xludf.DUMMYFUNCTION("IF(D56&lt;&gt;"""", GOOGLETRANSLATE(F56, ""en"", ""zh""), """")
"),"莲子、枸杞、红枣、虫草")</f>
        <v>莲子、枸杞、红枣、虫草</v>
      </c>
      <c r="I56" s="9" t="s">
        <v>228</v>
      </c>
      <c r="J56" s="10" t="b">
        <v>0</v>
      </c>
      <c r="K56" s="10" t="b">
        <v>0</v>
      </c>
      <c r="L56" s="11" t="str">
        <f t="shared" si="1"/>
        <v/>
      </c>
    </row>
    <row r="57" ht="36.75" customHeight="1">
      <c r="A57" s="5" t="s">
        <v>220</v>
      </c>
      <c r="B57" s="6" t="s">
        <v>229</v>
      </c>
      <c r="C57" s="7">
        <v>35000.0</v>
      </c>
      <c r="D57" s="8" t="s">
        <v>230</v>
      </c>
      <c r="E57" s="8" t="s">
        <v>231</v>
      </c>
      <c r="F57" s="5" t="str">
        <f>IFERROR(__xludf.DUMMYFUNCTION("IF(D57&lt;&gt;"""", GOOGLETRANSLATE(D57, ""vi"", ""en""), """")
"),"Yogurt, mulberry jam, kumquat jam, shaved ice")</f>
        <v>Yogurt, mulberry jam, kumquat jam, shaved ice</v>
      </c>
      <c r="G57" s="5" t="str">
        <f>IFERROR(__xludf.DUMMYFUNCTION("GOOGLETRANSLATE(E57,""en"",""zh"")"),"桑葚酸奶")</f>
        <v>桑葚酸奶</v>
      </c>
      <c r="H57" s="5" t="str">
        <f>IFERROR(__xludf.DUMMYFUNCTION("IF(D57&lt;&gt;"""", GOOGLETRANSLATE(F57, ""en"", ""zh""), """")
"),"酸奶、桑葚酱、金橘酱、刨冰")</f>
        <v>酸奶、桑葚酱、金橘酱、刨冰</v>
      </c>
      <c r="I57" s="9" t="s">
        <v>232</v>
      </c>
      <c r="J57" s="10" t="b">
        <v>0</v>
      </c>
      <c r="K57" s="10" t="b">
        <v>0</v>
      </c>
      <c r="L57" s="11" t="str">
        <f t="shared" si="1"/>
        <v/>
      </c>
    </row>
    <row r="58" ht="36.75" customHeight="1">
      <c r="A58" s="5" t="s">
        <v>220</v>
      </c>
      <c r="B58" s="6" t="s">
        <v>233</v>
      </c>
      <c r="C58" s="7">
        <v>12000.0</v>
      </c>
      <c r="D58" s="8" t="s">
        <v>234</v>
      </c>
      <c r="E58" s="5" t="str">
        <f>IFERROR(__xludf.DUMMYFUNCTION("GOOGLETRANSLATE(B58,""vi"",""en"")"),"Panna Cotta (Blueberry, passion fruit, guava, peach, mulberry)")</f>
        <v>Panna Cotta (Blueberry, passion fruit, guava, peach, mulberry)</v>
      </c>
      <c r="F58" s="5" t="str">
        <f>IFERROR(__xludf.DUMMYFUNCTION("IF(D58&lt;&gt;"""", GOOGLETRANSLATE(D58, ""vi"", ""en""), """")
"),"Made from pure soy milk and gelatin, served with various fruit jams.")</f>
        <v>Made from pure soy milk and gelatin, served with various fruit jams.</v>
      </c>
      <c r="G58" s="5" t="str">
        <f>IFERROR(__xludf.DUMMYFUNCTION("GOOGLETRANSLATE(E58,""en"",""zh"")"),"意式奶冻（蓝莓、百香果、番石榴、桃子、桑葚）")</f>
        <v>意式奶冻（蓝莓、百香果、番石榴、桃子、桑葚）</v>
      </c>
      <c r="H58" s="5" t="str">
        <f>IFERROR(__xludf.DUMMYFUNCTION("IF(D58&lt;&gt;"""", GOOGLETRANSLATE(F58, ""en"", ""zh""), """")
"),"由纯豆浆和明胶制成，佐以各种果酱。")</f>
        <v>由纯豆浆和明胶制成，佐以各种果酱。</v>
      </c>
      <c r="I58" s="9" t="s">
        <v>235</v>
      </c>
      <c r="J58" s="10" t="b">
        <v>0</v>
      </c>
      <c r="K58" s="10" t="b">
        <v>0</v>
      </c>
      <c r="L58" s="11" t="str">
        <f t="shared" si="1"/>
        <v/>
      </c>
    </row>
  </sheetData>
  <autoFilter ref="$A$1:$L$58"/>
  <dataValidations>
    <dataValidation type="list" allowBlank="1" showErrorMessage="1" sqref="A2:A58">
      <formula1>Helper!$A$2:$A58</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hidden="1" min="3" max="3" width="12.63"/>
    <col customWidth="1" hidden="1" min="4" max="4" width="56.13"/>
    <col customWidth="1" hidden="1" min="5" max="5" width="30.25"/>
    <col customWidth="1" hidden="1" min="6" max="6" width="26.0"/>
    <col hidden="1" min="7" max="7" width="12.63"/>
    <col customWidth="1" hidden="1" min="8" max="8" width="17.25"/>
    <col customWidth="1" min="9" max="9" width="82.25"/>
  </cols>
  <sheetData>
    <row r="1">
      <c r="A1" s="17" t="s">
        <v>0</v>
      </c>
      <c r="B1" s="18" t="s">
        <v>1</v>
      </c>
      <c r="C1" s="19" t="s">
        <v>2</v>
      </c>
      <c r="D1" s="18" t="s">
        <v>3</v>
      </c>
      <c r="E1" s="18" t="s">
        <v>4</v>
      </c>
      <c r="F1" s="18" t="s">
        <v>5</v>
      </c>
      <c r="G1" s="18" t="s">
        <v>6</v>
      </c>
      <c r="H1" s="18" t="s">
        <v>7</v>
      </c>
      <c r="I1" s="18" t="s">
        <v>8</v>
      </c>
      <c r="J1" s="18" t="s">
        <v>9</v>
      </c>
      <c r="K1" s="20" t="s">
        <v>236</v>
      </c>
    </row>
    <row r="2" ht="24.0" customHeight="1">
      <c r="A2" s="21" t="s">
        <v>237</v>
      </c>
      <c r="B2" s="22" t="s">
        <v>238</v>
      </c>
      <c r="C2" s="23">
        <v>35000.0</v>
      </c>
      <c r="D2" s="24" t="s">
        <v>239</v>
      </c>
      <c r="E2" s="25" t="s">
        <v>240</v>
      </c>
      <c r="F2" s="26" t="s">
        <v>241</v>
      </c>
      <c r="G2" s="25" t="str">
        <f>IFERROR(__xludf.DUMMYFUNCTION("GOOGLETRANSLATE(E2,""en"",""zh"")"),"花草茶")</f>
        <v>花草茶</v>
      </c>
      <c r="H2" s="25" t="str">
        <f>IFERROR(__xludf.DUMMYFUNCTION("IF(F2&lt;&gt;"""", GOOGLETRANSLATE(F2, ""en"", ""zh""), """")
"),"雏菊、玫瑰、枸杞、苹果、糖、冬虫夏草（可热食或冷食）")</f>
        <v>雏菊、玫瑰、枸杞、苹果、糖、冬虫夏草（可热食或冷食）</v>
      </c>
      <c r="I2" s="27" t="s">
        <v>242</v>
      </c>
      <c r="J2" s="28" t="b">
        <v>0</v>
      </c>
      <c r="K2" s="29" t="str">
        <f t="shared" ref="K2:K29" si="1">image(I2,1)</f>
        <v/>
      </c>
    </row>
    <row r="3" ht="24.0" customHeight="1">
      <c r="A3" s="21" t="s">
        <v>237</v>
      </c>
      <c r="B3" s="22" t="s">
        <v>243</v>
      </c>
      <c r="C3" s="23">
        <v>35000.0</v>
      </c>
      <c r="D3" s="24" t="s">
        <v>244</v>
      </c>
      <c r="E3" s="25" t="s">
        <v>245</v>
      </c>
      <c r="F3" s="26" t="s">
        <v>246</v>
      </c>
      <c r="G3" s="25" t="str">
        <f>IFERROR(__xludf.DUMMYFUNCTION("GOOGLETRANSLATE(E3,""en"",""zh"")"),"橙香柠檬草桃子茶")</f>
        <v>橙香柠檬草桃子茶</v>
      </c>
      <c r="H3" s="25" t="str">
        <f>IFERROR(__xludf.DUMMYFUNCTION("IF(F3&lt;&gt;"""", GOOGLETRANSLATE(F3, ""en"", ""zh""), """")
"),"柠檬草碎、桃子茶、桃子糖浆、桃子果酱、金橘汁、桃片")</f>
        <v>柠檬草碎、桃子茶、桃子糖浆、桃子果酱、金橘汁、桃片</v>
      </c>
      <c r="I3" s="27" t="s">
        <v>247</v>
      </c>
      <c r="J3" s="28" t="b">
        <v>1</v>
      </c>
      <c r="K3" s="29" t="str">
        <f t="shared" si="1"/>
        <v/>
      </c>
    </row>
    <row r="4" ht="24.0" customHeight="1">
      <c r="A4" s="21" t="s">
        <v>237</v>
      </c>
      <c r="B4" s="22" t="s">
        <v>248</v>
      </c>
      <c r="C4" s="23">
        <v>35000.0</v>
      </c>
      <c r="D4" s="24" t="s">
        <v>249</v>
      </c>
      <c r="E4" s="25" t="s">
        <v>250</v>
      </c>
      <c r="F4" s="26" t="s">
        <v>251</v>
      </c>
      <c r="G4" s="25" t="str">
        <f>IFERROR(__xludf.DUMMYFUNCTION("GOOGLETRANSLATE(E4,""en"",""zh"")"),"荔枝茉莉花茶")</f>
        <v>荔枝茉莉花茶</v>
      </c>
      <c r="H4" s="25" t="str">
        <f>IFERROR(__xludf.DUMMYFUNCTION("IF(F4&lt;&gt;"""", GOOGLETRANSLATE(F4, ""en"", ""zh""), """")
"),"荔枝糖浆，新鲜荔枝")</f>
        <v>荔枝糖浆，新鲜荔枝</v>
      </c>
      <c r="I4" s="27" t="s">
        <v>252</v>
      </c>
      <c r="J4" s="28" t="b">
        <v>0</v>
      </c>
      <c r="K4" s="29" t="str">
        <f t="shared" si="1"/>
        <v/>
      </c>
    </row>
    <row r="5" ht="24.0" customHeight="1">
      <c r="A5" s="21" t="s">
        <v>237</v>
      </c>
      <c r="B5" s="22" t="s">
        <v>253</v>
      </c>
      <c r="C5" s="23">
        <v>35000.0</v>
      </c>
      <c r="D5" s="24" t="s">
        <v>254</v>
      </c>
      <c r="E5" s="25" t="s">
        <v>255</v>
      </c>
      <c r="F5" s="26" t="s">
        <v>256</v>
      </c>
      <c r="G5" s="25" t="str">
        <f>IFERROR(__xludf.DUMMYFUNCTION("GOOGLETRANSLATE(E5,""en"",""zh"")"),"粉红番石榴茶")</f>
        <v>粉红番石榴茶</v>
      </c>
      <c r="H5" s="25" t="str">
        <f>IFERROR(__xludf.DUMMYFUNCTION("IF(F5&lt;&gt;"""", GOOGLETRANSLATE(F5, ""en"", ""zh""), """")
"),"金橘汁、番石榴果酱、番石榴糖浆、新鲜番石榴")</f>
        <v>金橘汁、番石榴果酱、番石榴糖浆、新鲜番石榴</v>
      </c>
      <c r="I5" s="27" t="s">
        <v>257</v>
      </c>
      <c r="J5" s="28" t="b">
        <v>0</v>
      </c>
      <c r="K5" s="29" t="str">
        <f t="shared" si="1"/>
        <v/>
      </c>
    </row>
    <row r="6" ht="24.0" customHeight="1">
      <c r="A6" s="21" t="s">
        <v>237</v>
      </c>
      <c r="B6" s="22" t="s">
        <v>258</v>
      </c>
      <c r="C6" s="23">
        <v>35000.0</v>
      </c>
      <c r="D6" s="24" t="s">
        <v>259</v>
      </c>
      <c r="E6" s="25" t="s">
        <v>260</v>
      </c>
      <c r="F6" s="26" t="s">
        <v>261</v>
      </c>
      <c r="G6" s="25" t="str">
        <f>IFERROR(__xludf.DUMMYFUNCTION("GOOGLETRANSLATE(E6,""en"",""zh"")"),"蜂蜜姜热茶")</f>
        <v>蜂蜜姜热茶</v>
      </c>
      <c r="H6" s="25" t="str">
        <f>IFERROR(__xludf.DUMMYFUNCTION("IF(F6&lt;&gt;"""", GOOGLETRANSLATE(F6, ""en"", ""zh""), """")
"),"姜茶、蜂蜜、姜片")</f>
        <v>姜茶、蜂蜜、姜片</v>
      </c>
      <c r="I6" s="27" t="s">
        <v>262</v>
      </c>
      <c r="J6" s="28" t="b">
        <v>0</v>
      </c>
      <c r="K6" s="29" t="str">
        <f t="shared" si="1"/>
        <v/>
      </c>
    </row>
    <row r="7" ht="24.0" customHeight="1">
      <c r="A7" s="21" t="s">
        <v>237</v>
      </c>
      <c r="B7" s="22" t="s">
        <v>263</v>
      </c>
      <c r="C7" s="23">
        <v>35000.0</v>
      </c>
      <c r="D7" s="24" t="s">
        <v>264</v>
      </c>
      <c r="E7" s="25" t="s">
        <v>265</v>
      </c>
      <c r="F7" s="26" t="s">
        <v>266</v>
      </c>
      <c r="G7" s="25" t="str">
        <f>IFERROR(__xludf.DUMMYFUNCTION("GOOGLETRANSLATE(E7,""en"",""zh"")"),"烟熏金桔茶")</f>
        <v>烟熏金桔茶</v>
      </c>
      <c r="H7" s="25" t="str">
        <f>IFERROR(__xludf.DUMMYFUNCTION("IF(F7&lt;&gt;"""", GOOGLETRANSLATE(F7, ""en"", ""zh""), """")
"),"烟灰、立顿茶、金橘汁、金橘果酱")</f>
        <v>烟灰、立顿茶、金橘汁、金橘果酱</v>
      </c>
      <c r="I7" s="27" t="s">
        <v>267</v>
      </c>
      <c r="J7" s="28" t="b">
        <v>0</v>
      </c>
      <c r="K7" s="29" t="str">
        <f t="shared" si="1"/>
        <v/>
      </c>
    </row>
    <row r="8" ht="24.0" customHeight="1">
      <c r="A8" s="21" t="s">
        <v>237</v>
      </c>
      <c r="B8" s="22" t="s">
        <v>268</v>
      </c>
      <c r="C8" s="23">
        <v>35000.0</v>
      </c>
      <c r="D8" s="24" t="s">
        <v>269</v>
      </c>
      <c r="E8" s="25" t="s">
        <v>270</v>
      </c>
      <c r="F8" s="25" t="s">
        <v>271</v>
      </c>
      <c r="G8" s="25" t="str">
        <f>IFERROR(__xludf.DUMMYFUNCTION("GOOGLETRANSLATE(E8,""en"",""zh"")"),"茉莉花茶")</f>
        <v>茉莉花茶</v>
      </c>
      <c r="H8" s="25" t="str">
        <f>IFERROR(__xludf.DUMMYFUNCTION("IF(F8&lt;&gt;"""", GOOGLETRANSLATE(F8, ""en"", ""zh""), """")
"),"加入菠萝汁和棕榈果")</f>
        <v>加入菠萝汁和棕榈果</v>
      </c>
      <c r="I8" s="27" t="s">
        <v>272</v>
      </c>
      <c r="J8" s="28" t="b">
        <v>1</v>
      </c>
      <c r="K8" s="29" t="str">
        <f t="shared" si="1"/>
        <v/>
      </c>
    </row>
    <row r="9" ht="22.5" customHeight="1">
      <c r="A9" s="21" t="s">
        <v>273</v>
      </c>
      <c r="B9" s="22" t="s">
        <v>274</v>
      </c>
      <c r="C9" s="23">
        <v>35000.0</v>
      </c>
      <c r="D9" s="24" t="s">
        <v>275</v>
      </c>
      <c r="E9" s="25" t="s">
        <v>276</v>
      </c>
      <c r="F9" s="25" t="s">
        <v>277</v>
      </c>
      <c r="G9" s="25" t="str">
        <f>IFERROR(__xludf.DUMMYFUNCTION("GOOGLETRANSLATE(E9,""en"",""zh"")"),"菠萝")</f>
        <v>菠萝</v>
      </c>
      <c r="H9" s="25" t="str">
        <f>IFERROR(__xludf.DUMMYFUNCTION("IF(F9&lt;&gt;"""", GOOGLETRANSLATE(F9, ""en"", ""zh""), """")
"),"菠萝汁")</f>
        <v>菠萝汁</v>
      </c>
      <c r="I9" s="27" t="s">
        <v>278</v>
      </c>
      <c r="J9" s="28" t="b">
        <v>0</v>
      </c>
      <c r="K9" s="29" t="str">
        <f t="shared" si="1"/>
        <v/>
      </c>
    </row>
    <row r="10" ht="22.5" customHeight="1">
      <c r="A10" s="21" t="s">
        <v>273</v>
      </c>
      <c r="B10" s="22" t="s">
        <v>279</v>
      </c>
      <c r="C10" s="23">
        <v>35000.0</v>
      </c>
      <c r="D10" s="24" t="s">
        <v>280</v>
      </c>
      <c r="E10" s="25" t="s">
        <v>281</v>
      </c>
      <c r="F10" s="25" t="s">
        <v>282</v>
      </c>
      <c r="G10" s="25" t="str">
        <f>IFERROR(__xludf.DUMMYFUNCTION("GOOGLETRANSLATE(E10,""en"",""zh"")"),"橙子")</f>
        <v>橙子</v>
      </c>
      <c r="H10" s="25" t="str">
        <f>IFERROR(__xludf.DUMMYFUNCTION("IF(F10&lt;&gt;"""", GOOGLETRANSLATE(F10, ""en"", ""zh""), """")
"),"橙汁")</f>
        <v>橙汁</v>
      </c>
      <c r="I10" s="27" t="s">
        <v>283</v>
      </c>
      <c r="J10" s="28" t="b">
        <v>0</v>
      </c>
      <c r="K10" s="29" t="str">
        <f t="shared" si="1"/>
        <v/>
      </c>
    </row>
    <row r="11" ht="22.5" customHeight="1">
      <c r="A11" s="21" t="s">
        <v>273</v>
      </c>
      <c r="B11" s="22" t="s">
        <v>284</v>
      </c>
      <c r="C11" s="23">
        <v>35000.0</v>
      </c>
      <c r="D11" s="24" t="s">
        <v>285</v>
      </c>
      <c r="E11" s="25" t="s">
        <v>286</v>
      </c>
      <c r="F11" s="25" t="s">
        <v>287</v>
      </c>
      <c r="G11" s="25" t="str">
        <f>IFERROR(__xludf.DUMMYFUNCTION("GOOGLETRANSLATE(E11,""en"",""zh"")"),"西瓜")</f>
        <v>西瓜</v>
      </c>
      <c r="H11" s="25" t="str">
        <f>IFERROR(__xludf.DUMMYFUNCTION("IF(F11&lt;&gt;"""", GOOGLETRANSLATE(F11, ""en"", ""zh""), """")
"),"西瓜汁")</f>
        <v>西瓜汁</v>
      </c>
      <c r="I11" s="27" t="s">
        <v>288</v>
      </c>
      <c r="J11" s="28" t="b">
        <v>0</v>
      </c>
      <c r="K11" s="29" t="str">
        <f t="shared" si="1"/>
        <v/>
      </c>
    </row>
    <row r="12" ht="22.5" customHeight="1">
      <c r="A12" s="21" t="s">
        <v>273</v>
      </c>
      <c r="B12" s="22" t="s">
        <v>289</v>
      </c>
      <c r="C12" s="23">
        <v>35000.0</v>
      </c>
      <c r="D12" s="24" t="s">
        <v>290</v>
      </c>
      <c r="E12" s="25" t="s">
        <v>291</v>
      </c>
      <c r="F12" s="26" t="s">
        <v>292</v>
      </c>
      <c r="G12" s="25" t="str">
        <f>IFERROR(__xludf.DUMMYFUNCTION("GOOGLETRANSLATE(E12,""en"",""zh"")"),"百香果")</f>
        <v>百香果</v>
      </c>
      <c r="H12" s="25" t="str">
        <f>IFERROR(__xludf.DUMMYFUNCTION("IF(F12&lt;&gt;"""", GOOGLETRANSLATE(F12, ""en"", ""zh""), """")
"),"百香果汁、百香果糖浆、百香果果酱")</f>
        <v>百香果汁、百香果糖浆、百香果果酱</v>
      </c>
      <c r="I12" s="27" t="s">
        <v>293</v>
      </c>
      <c r="J12" s="28" t="b">
        <v>0</v>
      </c>
      <c r="K12" s="29" t="str">
        <f t="shared" si="1"/>
        <v/>
      </c>
    </row>
    <row r="13" ht="22.5" customHeight="1">
      <c r="A13" s="21" t="s">
        <v>273</v>
      </c>
      <c r="B13" s="22" t="s">
        <v>294</v>
      </c>
      <c r="C13" s="23">
        <v>35000.0</v>
      </c>
      <c r="D13" s="24" t="s">
        <v>295</v>
      </c>
      <c r="E13" s="26" t="s">
        <v>296</v>
      </c>
      <c r="F13" s="26" t="s">
        <v>282</v>
      </c>
      <c r="G13" s="25" t="str">
        <f>IFERROR(__xludf.DUMMYFUNCTION("GOOGLETRANSLATE(E13,""en"",""zh"")"),"橙胡萝卜")</f>
        <v>橙胡萝卜</v>
      </c>
      <c r="H13" s="25" t="str">
        <f>IFERROR(__xludf.DUMMYFUNCTION("IF(F13&lt;&gt;"""", GOOGLETRANSLATE(F13, ""en"", ""zh""), """")
"),"橙汁")</f>
        <v>橙汁</v>
      </c>
      <c r="I13" s="27" t="s">
        <v>297</v>
      </c>
      <c r="J13" s="28" t="b">
        <v>0</v>
      </c>
      <c r="K13" s="29" t="str">
        <f t="shared" si="1"/>
        <v/>
      </c>
    </row>
    <row r="14" ht="22.5" customHeight="1">
      <c r="A14" s="30" t="s">
        <v>273</v>
      </c>
      <c r="B14" s="31" t="s">
        <v>298</v>
      </c>
      <c r="C14" s="32">
        <v>35000.0</v>
      </c>
      <c r="D14" s="33" t="s">
        <v>299</v>
      </c>
      <c r="E14" s="25" t="s">
        <v>300</v>
      </c>
      <c r="F14" s="25" t="s">
        <v>301</v>
      </c>
      <c r="G14" s="25" t="str">
        <f>IFERROR(__xludf.DUMMYFUNCTION("GOOGLETRANSLATE(E14,""en"",""zh"")"),"菠萝胡萝卜")</f>
        <v>菠萝胡萝卜</v>
      </c>
      <c r="H14" s="25" t="str">
        <f>IFERROR(__xludf.DUMMYFUNCTION("IF(F14&lt;&gt;"""", GOOGLETRANSLATE(F14, ""en"", ""zh""), """")
"),"混合菠萝汁和胡萝卜汁")</f>
        <v>混合菠萝汁和胡萝卜汁</v>
      </c>
      <c r="I14" s="34" t="s">
        <v>302</v>
      </c>
      <c r="J14" s="35" t="b">
        <v>0</v>
      </c>
      <c r="K14" s="36" t="str">
        <f t="shared" si="1"/>
        <v/>
      </c>
    </row>
    <row r="15" ht="22.5" customHeight="1">
      <c r="A15" s="21" t="s">
        <v>303</v>
      </c>
      <c r="B15" s="24" t="s">
        <v>304</v>
      </c>
      <c r="C15" s="23">
        <v>30000.0</v>
      </c>
      <c r="D15" s="24" t="s">
        <v>305</v>
      </c>
      <c r="E15" s="25" t="s">
        <v>306</v>
      </c>
      <c r="F15" s="26" t="s">
        <v>307</v>
      </c>
      <c r="G15" s="25" t="str">
        <f>IFERROR(__xludf.DUMMYFUNCTION("GOOGLETRANSLATE(E15,""en"",""zh"")"),"蓝色海洋")</f>
        <v>蓝色海洋</v>
      </c>
      <c r="H15" s="25" t="str">
        <f>IFERROR(__xludf.DUMMYFUNCTION("IF(F15&lt;&gt;"""", GOOGLETRANSLATE(F15, ""en"", ""zh""), """")
"),"蓝海精华液、薄荷精华液、柠檬汁、1-2片碾碎的薄荷叶、苏打水")</f>
        <v>蓝海精华液、薄荷精华液、柠檬汁、1-2片碾碎的薄荷叶、苏打水</v>
      </c>
      <c r="I15" s="27" t="s">
        <v>308</v>
      </c>
      <c r="J15" s="28" t="b">
        <v>0</v>
      </c>
      <c r="K15" s="29" t="str">
        <f t="shared" si="1"/>
        <v/>
      </c>
    </row>
    <row r="16" ht="22.5" customHeight="1">
      <c r="A16" s="21" t="s">
        <v>303</v>
      </c>
      <c r="B16" s="22" t="s">
        <v>309</v>
      </c>
      <c r="C16" s="23">
        <v>30000.0</v>
      </c>
      <c r="D16" s="24" t="s">
        <v>310</v>
      </c>
      <c r="E16" s="25" t="s">
        <v>311</v>
      </c>
      <c r="F16" s="26" t="s">
        <v>312</v>
      </c>
      <c r="G16" s="25" t="str">
        <f>IFERROR(__xludf.DUMMYFUNCTION("GOOGLETRANSLATE(E16,""en"",""zh"")"),"热带百香果")</f>
        <v>热带百香果</v>
      </c>
      <c r="H16" s="25" t="str">
        <f>IFERROR(__xludf.DUMMYFUNCTION("IF(F16&lt;&gt;"""", GOOGLETRANSLATE(F16, ""en"", ""zh""), """")
"),"百香果精华液、百香果糖浆、苏打水")</f>
        <v>百香果精华液、百香果糖浆、苏打水</v>
      </c>
      <c r="I16" s="27" t="s">
        <v>313</v>
      </c>
      <c r="J16" s="28" t="b">
        <v>0</v>
      </c>
      <c r="K16" s="29" t="str">
        <f t="shared" si="1"/>
        <v/>
      </c>
    </row>
    <row r="17" ht="22.5" customHeight="1">
      <c r="A17" s="21" t="s">
        <v>303</v>
      </c>
      <c r="B17" s="22" t="s">
        <v>314</v>
      </c>
      <c r="C17" s="23">
        <v>30000.0</v>
      </c>
      <c r="D17" s="24" t="s">
        <v>315</v>
      </c>
      <c r="E17" s="25" t="s">
        <v>316</v>
      </c>
      <c r="F17" s="26" t="s">
        <v>317</v>
      </c>
      <c r="G17" s="25" t="str">
        <f>IFERROR(__xludf.DUMMYFUNCTION("GOOGLETRANSLATE(E17,""en"",""zh"")"),"清新酸爽")</f>
        <v>清新酸爽</v>
      </c>
      <c r="H17" s="25" t="str">
        <f>IFERROR(__xludf.DUMMYFUNCTION("IF(F17&lt;&gt;"""", GOOGLETRANSLATE(F17, ""en"", ""zh""), """")
"),"鲜榨柠檬汁、糖浆、苏打水")</f>
        <v>鲜榨柠檬汁、糖浆、苏打水</v>
      </c>
      <c r="I17" s="27" t="s">
        <v>318</v>
      </c>
      <c r="J17" s="28" t="b">
        <v>0</v>
      </c>
      <c r="K17" s="29" t="str">
        <f t="shared" si="1"/>
        <v/>
      </c>
    </row>
    <row r="18" ht="22.5" customHeight="1">
      <c r="A18" s="21" t="s">
        <v>303</v>
      </c>
      <c r="B18" s="22" t="s">
        <v>319</v>
      </c>
      <c r="C18" s="23">
        <v>30000.0</v>
      </c>
      <c r="D18" s="24" t="s">
        <v>320</v>
      </c>
      <c r="E18" s="25" t="s">
        <v>321</v>
      </c>
      <c r="F18" s="26" t="s">
        <v>322</v>
      </c>
      <c r="G18" s="25" t="str">
        <f>IFERROR(__xludf.DUMMYFUNCTION("GOOGLETRANSLATE(E18,""en"",""zh"")"),"紫色梦境")</f>
        <v>紫色梦境</v>
      </c>
      <c r="H18" s="25" t="str">
        <f>IFERROR(__xludf.DUMMYFUNCTION("IF(F18&lt;&gt;"""", GOOGLETRANSLATE(F18, ""en"", ""zh""), """")
"),"蓝莓汁、糖浆、苏打水")</f>
        <v>蓝莓汁、糖浆、苏打水</v>
      </c>
      <c r="I18" s="27" t="s">
        <v>323</v>
      </c>
      <c r="J18" s="28" t="b">
        <v>0</v>
      </c>
      <c r="K18" s="29" t="str">
        <f t="shared" si="1"/>
        <v/>
      </c>
    </row>
    <row r="19" ht="22.5" customHeight="1">
      <c r="A19" s="21" t="s">
        <v>324</v>
      </c>
      <c r="B19" s="24" t="s">
        <v>325</v>
      </c>
      <c r="C19" s="23">
        <v>35000.0</v>
      </c>
      <c r="D19" s="37"/>
      <c r="E19" s="25" t="s">
        <v>326</v>
      </c>
      <c r="F19" s="25"/>
      <c r="G19" s="25" t="str">
        <f>IFERROR(__xludf.DUMMYFUNCTION("GOOGLETRANSLATE(E19,""en"",""zh"")"),"泰式绿奶茶")</f>
        <v>泰式绿奶茶</v>
      </c>
      <c r="H19" s="25" t="str">
        <f>IFERROR(__xludf.DUMMYFUNCTION("IF(F19&lt;&gt;"""", GOOGLETRANSLATE(F19, ""en"", ""zh""), """")
"),"")</f>
        <v/>
      </c>
      <c r="I19" s="27" t="s">
        <v>327</v>
      </c>
      <c r="J19" s="28" t="b">
        <v>0</v>
      </c>
      <c r="K19" s="29" t="str">
        <f t="shared" si="1"/>
        <v/>
      </c>
    </row>
    <row r="20" ht="22.5" customHeight="1">
      <c r="A20" s="21" t="s">
        <v>324</v>
      </c>
      <c r="B20" s="24" t="s">
        <v>328</v>
      </c>
      <c r="C20" s="23">
        <v>35000.0</v>
      </c>
      <c r="D20" s="37"/>
      <c r="E20" s="25" t="s">
        <v>329</v>
      </c>
      <c r="F20" s="25"/>
      <c r="G20" s="25" t="str">
        <f>IFERROR(__xludf.DUMMYFUNCTION("GOOGLETRANSLATE(E20,""en"",""zh"")"),"泰式绿茶，加柠檬和蜂蜜")</f>
        <v>泰式绿茶，加柠檬和蜂蜜</v>
      </c>
      <c r="H20" s="25" t="str">
        <f>IFERROR(__xludf.DUMMYFUNCTION("IF(F20&lt;&gt;"""", GOOGLETRANSLATE(F20, ""en"", ""zh""), """")
"),"")</f>
        <v/>
      </c>
      <c r="I20" s="27" t="s">
        <v>330</v>
      </c>
      <c r="J20" s="28" t="b">
        <v>0</v>
      </c>
      <c r="K20" s="29" t="str">
        <f t="shared" si="1"/>
        <v/>
      </c>
    </row>
    <row r="21" ht="22.5" customHeight="1">
      <c r="A21" s="21" t="s">
        <v>331</v>
      </c>
      <c r="B21" s="24" t="s">
        <v>332</v>
      </c>
      <c r="C21" s="23">
        <v>20000.0</v>
      </c>
      <c r="D21" s="24" t="s">
        <v>333</v>
      </c>
      <c r="E21" s="25" t="s">
        <v>334</v>
      </c>
      <c r="F21" s="25" t="s">
        <v>335</v>
      </c>
      <c r="G21" s="25" t="str">
        <f>IFERROR(__xludf.DUMMYFUNCTION("GOOGLETRANSLATE(E21,""en"",""zh"")"),"冰黑咖啡 | 热黑咖啡")</f>
        <v>冰黑咖啡 | 热黑咖啡</v>
      </c>
      <c r="H21" s="25" t="str">
        <f>IFERROR(__xludf.DUMMYFUNCTION("IF(F21&lt;&gt;"""", GOOGLETRANSLATE(F21, ""en"", ""zh""), """")
"),"纯咖啡，加少许砂糖")</f>
        <v>纯咖啡，加少许砂糖</v>
      </c>
      <c r="I21" s="37"/>
      <c r="J21" s="28" t="b">
        <v>1</v>
      </c>
      <c r="K21" s="29" t="str">
        <f t="shared" si="1"/>
        <v/>
      </c>
    </row>
    <row r="22" ht="22.5" customHeight="1">
      <c r="A22" s="21" t="s">
        <v>331</v>
      </c>
      <c r="B22" s="24" t="s">
        <v>336</v>
      </c>
      <c r="C22" s="23">
        <v>25000.0</v>
      </c>
      <c r="D22" s="24" t="s">
        <v>337</v>
      </c>
      <c r="E22" s="25" t="s">
        <v>338</v>
      </c>
      <c r="F22" s="26" t="s">
        <v>339</v>
      </c>
      <c r="G22" s="25" t="str">
        <f>IFERROR(__xludf.DUMMYFUNCTION("GOOGLETRANSLATE(E22,""en"",""zh"")"),"冰炼乳咖啡 | 热炼乳咖啡")</f>
        <v>冰炼乳咖啡 | 热炼乳咖啡</v>
      </c>
      <c r="H22" s="25" t="str">
        <f>IFERROR(__xludf.DUMMYFUNCTION("IF(F22&lt;&gt;"""", GOOGLETRANSLATE(F22, ""en"", ""zh""), """")
"),"纯咖啡，炼乳")</f>
        <v>纯咖啡，炼乳</v>
      </c>
      <c r="I22" s="37"/>
      <c r="J22" s="28" t="b">
        <v>0</v>
      </c>
      <c r="K22" s="29" t="str">
        <f t="shared" si="1"/>
        <v/>
      </c>
    </row>
    <row r="23" ht="22.5" customHeight="1">
      <c r="A23" s="21" t="s">
        <v>331</v>
      </c>
      <c r="B23" s="24" t="s">
        <v>340</v>
      </c>
      <c r="C23" s="23">
        <v>35000.0</v>
      </c>
      <c r="D23" s="24" t="s">
        <v>341</v>
      </c>
      <c r="E23" s="25" t="s">
        <v>342</v>
      </c>
      <c r="F23" s="26" t="s">
        <v>343</v>
      </c>
      <c r="G23" s="25" t="str">
        <f>IFERROR(__xludf.DUMMYFUNCTION("GOOGLETRANSLATE(E23,""en"",""zh"")"),"白咖啡")</f>
        <v>白咖啡</v>
      </c>
      <c r="H23" s="25" t="str">
        <f>IFERROR(__xludf.DUMMYFUNCTION("IF(F23&lt;&gt;"""", GOOGLETRANSLATE(F23, ""en"", ""zh""), """")
"),"纯咖啡、鲜牛奶、炼乳")</f>
        <v>纯咖啡、鲜牛奶、炼乳</v>
      </c>
      <c r="I23" s="37"/>
      <c r="J23" s="28" t="b">
        <v>0</v>
      </c>
      <c r="K23" s="29" t="str">
        <f t="shared" si="1"/>
        <v/>
      </c>
    </row>
    <row r="24" ht="22.5" customHeight="1">
      <c r="A24" s="21" t="s">
        <v>331</v>
      </c>
      <c r="B24" s="24" t="s">
        <v>344</v>
      </c>
      <c r="C24" s="23">
        <v>35000.0</v>
      </c>
      <c r="D24" s="24" t="s">
        <v>345</v>
      </c>
      <c r="E24" s="25" t="s">
        <v>346</v>
      </c>
      <c r="F24" s="26" t="s">
        <v>347</v>
      </c>
      <c r="G24" s="25" t="str">
        <f>IFERROR(__xludf.DUMMYFUNCTION("GOOGLETRANSLATE(E24,""en"",""zh"")"),"咸奶油咖啡")</f>
        <v>咸奶油咖啡</v>
      </c>
      <c r="H24" s="25" t="str">
        <f>IFERROR(__xludf.DUMMYFUNCTION("IF(F24&lt;&gt;"""", GOOGLETRANSLATE(F24, ""en"", ""zh""), """")
"),"纯咖啡、炼乳、咸奶油")</f>
        <v>纯咖啡、炼乳、咸奶油</v>
      </c>
      <c r="I24" s="37"/>
      <c r="J24" s="28" t="b">
        <v>0</v>
      </c>
      <c r="K24" s="29" t="str">
        <f t="shared" si="1"/>
        <v/>
      </c>
    </row>
    <row r="25" ht="22.5" customHeight="1">
      <c r="A25" s="21" t="s">
        <v>348</v>
      </c>
      <c r="B25" s="24" t="s">
        <v>349</v>
      </c>
      <c r="C25" s="23">
        <v>18000.0</v>
      </c>
      <c r="D25" s="37"/>
      <c r="E25" s="25" t="s">
        <v>350</v>
      </c>
      <c r="F25" s="25"/>
      <c r="G25" s="25" t="str">
        <f>IFERROR(__xludf.DUMMYFUNCTION("GOOGLETRANSLATE(E25,""en"",""zh"")"),"可口可乐")</f>
        <v>可口可乐</v>
      </c>
      <c r="H25" s="25" t="str">
        <f>IFERROR(__xludf.DUMMYFUNCTION("IF(F25&lt;&gt;"""", GOOGLETRANSLATE(F25, ""en"", ""zh""), """")
"),"")</f>
        <v/>
      </c>
      <c r="I25" s="37"/>
      <c r="J25" s="28" t="b">
        <v>0</v>
      </c>
      <c r="K25" s="29" t="str">
        <f t="shared" si="1"/>
        <v/>
      </c>
    </row>
    <row r="26" ht="22.5" customHeight="1">
      <c r="A26" s="21" t="s">
        <v>348</v>
      </c>
      <c r="B26" s="24" t="s">
        <v>351</v>
      </c>
      <c r="C26" s="23">
        <v>18000.0</v>
      </c>
      <c r="D26" s="37"/>
      <c r="E26" s="25" t="s">
        <v>352</v>
      </c>
      <c r="F26" s="25"/>
      <c r="G26" s="25" t="str">
        <f>IFERROR(__xludf.DUMMYFUNCTION("GOOGLETRANSLATE(E26,""en"",""zh"")"),"百事可乐")</f>
        <v>百事可乐</v>
      </c>
      <c r="H26" s="25" t="str">
        <f>IFERROR(__xludf.DUMMYFUNCTION("IF(F26&lt;&gt;"""", GOOGLETRANSLATE(F26, ""en"", ""zh""), """")
"),"")</f>
        <v/>
      </c>
      <c r="I26" s="37"/>
      <c r="J26" s="28" t="b">
        <v>0</v>
      </c>
      <c r="K26" s="29" t="str">
        <f t="shared" si="1"/>
        <v/>
      </c>
    </row>
    <row r="27" ht="22.5" customHeight="1">
      <c r="A27" s="21" t="s">
        <v>348</v>
      </c>
      <c r="B27" s="38" t="s">
        <v>353</v>
      </c>
      <c r="C27" s="39">
        <v>18000.0</v>
      </c>
      <c r="D27" s="37"/>
      <c r="E27" s="25" t="s">
        <v>353</v>
      </c>
      <c r="F27" s="25"/>
      <c r="G27" s="25" t="str">
        <f>IFERROR(__xludf.DUMMYFUNCTION("GOOGLETRANSLATE(E27,""en"",""zh"")"),"七喜")</f>
        <v>七喜</v>
      </c>
      <c r="H27" s="25" t="str">
        <f>IFERROR(__xludf.DUMMYFUNCTION("IF(F27&lt;&gt;"""", GOOGLETRANSLATE(F27, ""en"", ""zh""), """")
"),"")</f>
        <v/>
      </c>
      <c r="I27" s="37"/>
      <c r="J27" s="28" t="b">
        <v>0</v>
      </c>
      <c r="K27" s="29" t="str">
        <f t="shared" si="1"/>
        <v/>
      </c>
    </row>
    <row r="28" ht="22.5" customHeight="1">
      <c r="A28" s="21" t="s">
        <v>348</v>
      </c>
      <c r="B28" s="40" t="s">
        <v>354</v>
      </c>
      <c r="C28" s="23">
        <v>18000.0</v>
      </c>
      <c r="D28" s="37"/>
      <c r="E28" s="25" t="s">
        <v>355</v>
      </c>
      <c r="F28" s="25"/>
      <c r="G28" s="25" t="str">
        <f>IFERROR(__xludf.DUMMYFUNCTION("GOOGLETRANSLATE(E28,""en"",""zh"")"),"蜇")</f>
        <v>蜇</v>
      </c>
      <c r="H28" s="25" t="str">
        <f>IFERROR(__xludf.DUMMYFUNCTION("IF(F28&lt;&gt;"""", GOOGLETRANSLATE(F28, ""en"", ""zh""), """")
"),"")</f>
        <v/>
      </c>
      <c r="I28" s="37"/>
      <c r="J28" s="28" t="b">
        <v>0</v>
      </c>
      <c r="K28" s="29" t="str">
        <f t="shared" si="1"/>
        <v/>
      </c>
    </row>
    <row r="29" ht="22.5" customHeight="1">
      <c r="A29" s="21" t="s">
        <v>348</v>
      </c>
      <c r="B29" s="24" t="s">
        <v>356</v>
      </c>
      <c r="C29" s="23">
        <v>12000.0</v>
      </c>
      <c r="D29" s="37"/>
      <c r="E29" s="25" t="s">
        <v>357</v>
      </c>
      <c r="F29" s="25"/>
      <c r="G29" s="25" t="str">
        <f>IFERROR(__xludf.DUMMYFUNCTION("GOOGLETRANSLATE(E29,""en"",""zh"")"),"矿泉水")</f>
        <v>矿泉水</v>
      </c>
      <c r="H29" s="25" t="str">
        <f>IFERROR(__xludf.DUMMYFUNCTION("IF(F29&lt;&gt;"""", GOOGLETRANSLATE(F29, ""en"", ""zh""), """")
"),"")</f>
        <v/>
      </c>
      <c r="I29" s="37"/>
      <c r="J29" s="28" t="b">
        <v>0</v>
      </c>
      <c r="K29" s="29" t="str">
        <f t="shared" si="1"/>
        <v/>
      </c>
    </row>
  </sheetData>
  <dataValidations>
    <dataValidation type="list" allowBlank="1" showErrorMessage="1" sqref="A2:A29">
      <formula1>Helper!$B$2:$B29</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358</v>
      </c>
      <c r="B1" s="41" t="s">
        <v>1</v>
      </c>
    </row>
    <row r="2">
      <c r="A2" s="41" t="s">
        <v>359</v>
      </c>
      <c r="B2" s="41" t="s">
        <v>11</v>
      </c>
    </row>
    <row r="3">
      <c r="A3" s="41" t="s">
        <v>359</v>
      </c>
      <c r="B3" s="41" t="s">
        <v>360</v>
      </c>
    </row>
    <row r="4">
      <c r="A4" s="41" t="s">
        <v>359</v>
      </c>
      <c r="B4" s="41" t="s">
        <v>60</v>
      </c>
    </row>
    <row r="5">
      <c r="A5" s="41" t="s">
        <v>359</v>
      </c>
      <c r="B5" s="41" t="s">
        <v>110</v>
      </c>
    </row>
    <row r="6">
      <c r="A6" s="41" t="s">
        <v>359</v>
      </c>
      <c r="B6" s="41" t="s">
        <v>85</v>
      </c>
    </row>
    <row r="7">
      <c r="A7" s="41" t="s">
        <v>359</v>
      </c>
      <c r="B7" s="41" t="s">
        <v>361</v>
      </c>
    </row>
    <row r="8">
      <c r="A8" s="41" t="s">
        <v>359</v>
      </c>
      <c r="B8" s="41" t="s">
        <v>156</v>
      </c>
    </row>
    <row r="9">
      <c r="A9" s="41" t="s">
        <v>359</v>
      </c>
      <c r="B9" s="41" t="s">
        <v>177</v>
      </c>
    </row>
    <row r="10">
      <c r="A10" s="41" t="s">
        <v>359</v>
      </c>
      <c r="B10" s="41" t="s">
        <v>36</v>
      </c>
    </row>
    <row r="11">
      <c r="A11" s="41" t="s">
        <v>359</v>
      </c>
      <c r="B11" s="41" t="s">
        <v>220</v>
      </c>
    </row>
    <row r="12">
      <c r="A12" s="41" t="s">
        <v>362</v>
      </c>
      <c r="B12" s="41" t="s">
        <v>237</v>
      </c>
    </row>
    <row r="13">
      <c r="A13" s="41" t="s">
        <v>362</v>
      </c>
      <c r="B13" s="41" t="s">
        <v>273</v>
      </c>
    </row>
    <row r="14">
      <c r="A14" s="41" t="s">
        <v>362</v>
      </c>
      <c r="B14" s="41" t="s">
        <v>331</v>
      </c>
    </row>
    <row r="15">
      <c r="A15" s="41" t="s">
        <v>362</v>
      </c>
      <c r="B15" s="41" t="s">
        <v>324</v>
      </c>
    </row>
    <row r="16">
      <c r="A16" s="41" t="s">
        <v>362</v>
      </c>
      <c r="B16" s="41" t="s">
        <v>348</v>
      </c>
    </row>
    <row r="17">
      <c r="A17" s="41" t="s">
        <v>362</v>
      </c>
      <c r="B17" s="41" t="s">
        <v>303</v>
      </c>
    </row>
  </sheetData>
  <dataValidations>
    <dataValidation type="list" allowBlank="1" showInputMessage="1" showErrorMessage="1" prompt="Nhấp và nhập một giá trị từ danh sách các mục" sqref="A2:A17">
      <formula1>"food,drink"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363</v>
      </c>
      <c r="B1" s="41" t="s">
        <v>364</v>
      </c>
    </row>
    <row r="2">
      <c r="A2" s="42" t="str">
        <f>IFERROR(__xludf.DUMMYFUNCTION("FILTER(Category!B2:B1001, Category!A2:A1001=""food"")
"),"special")</f>
        <v>special</v>
      </c>
      <c r="B2" s="42" t="str">
        <f>IFERROR(__xludf.DUMMYFUNCTION("FILTER(Category!B3:B1001, Category!A3:A1001=""drink"")"),"tea")</f>
        <v>tea</v>
      </c>
    </row>
    <row r="3">
      <c r="A3" s="42" t="str">
        <f>IFERROR(__xludf.DUMMYFUNCTION("""COMPUTED_VALUE"""),"appetizer")</f>
        <v>appetizer</v>
      </c>
      <c r="B3" s="42" t="str">
        <f>IFERROR(__xludf.DUMMYFUNCTION("""COMPUTED_VALUE"""),"juice")</f>
        <v>juice</v>
      </c>
    </row>
    <row r="4">
      <c r="A4" s="42" t="str">
        <f>IFERROR(__xludf.DUMMYFUNCTION("""COMPUTED_VALUE"""),"roll")</f>
        <v>roll</v>
      </c>
      <c r="B4" s="42" t="str">
        <f>IFERROR(__xludf.DUMMYFUNCTION("""COMPUTED_VALUE"""),"coffee")</f>
        <v>coffee</v>
      </c>
    </row>
    <row r="5">
      <c r="A5" s="42" t="str">
        <f>IFERROR(__xludf.DUMMYFUNCTION("""COMPUTED_VALUE"""),"mainDish")</f>
        <v>mainDish</v>
      </c>
      <c r="B5" s="42" t="str">
        <f>IFERROR(__xludf.DUMMYFUNCTION("""COMPUTED_VALUE"""),"thaiTea")</f>
        <v>thaiTea</v>
      </c>
    </row>
    <row r="6">
      <c r="A6" s="42" t="str">
        <f>IFERROR(__xludf.DUMMYFUNCTION("""COMPUTED_VALUE"""),"hotPot")</f>
        <v>hotPot</v>
      </c>
      <c r="B6" s="42" t="str">
        <f>IFERROR(__xludf.DUMMYFUNCTION("""COMPUTED_VALUE"""),"softdrink")</f>
        <v>softdrink</v>
      </c>
    </row>
    <row r="7">
      <c r="A7" s="42" t="str">
        <f>IFERROR(__xludf.DUMMYFUNCTION("""COMPUTED_VALUE"""),"ricePortion")</f>
        <v>ricePortion</v>
      </c>
      <c r="B7" s="42" t="str">
        <f>IFERROR(__xludf.DUMMYFUNCTION("""COMPUTED_VALUE"""),"soda")</f>
        <v>soda</v>
      </c>
    </row>
    <row r="8">
      <c r="A8" s="42" t="str">
        <f>IFERROR(__xludf.DUMMYFUNCTION("""COMPUTED_VALUE"""),"soup")</f>
        <v>soup</v>
      </c>
    </row>
    <row r="9">
      <c r="A9" s="42" t="str">
        <f>IFERROR(__xludf.DUMMYFUNCTION("""COMPUTED_VALUE"""),"saltDish")</f>
        <v>saltDish</v>
      </c>
    </row>
    <row r="10">
      <c r="A10" s="42" t="str">
        <f>IFERROR(__xludf.DUMMYFUNCTION("""COMPUTED_VALUE"""),"salad")</f>
        <v>salad</v>
      </c>
    </row>
    <row r="11">
      <c r="A11" s="42" t="str">
        <f>IFERROR(__xludf.DUMMYFUNCTION("""COMPUTED_VALUE"""),"dessert")</f>
        <v>dessert</v>
      </c>
    </row>
  </sheetData>
  <drawing r:id="rId1"/>
</worksheet>
</file>